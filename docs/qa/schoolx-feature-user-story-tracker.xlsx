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798490f99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7168422b5fa4e8b"/>
    <x:sheet xmlns:r="http://schemas.openxmlformats.org/officeDocument/2006/relationships" name="Feature Stories" sheetId="2" r:id="R2346f4ccadca4ddb"/>
    <x:sheet xmlns:r="http://schemas.openxmlformats.org/officeDocument/2006/relationships" name="Test Log" sheetId="3" r:id="R475b00abffcd442f"/>
    <x:sheet xmlns:r="http://schemas.openxmlformats.org/officeDocument/2006/relationships" name="Defects" sheetId="4" r:id="R57466263d5f04300"/>
    <x:sheet xmlns:r="http://schemas.openxmlformats.org/officeDocument/2006/relationships" name="Dormant Backlog" sheetId="5" r:id="R84354561617740db"/>
    <x:sheet xmlns:r="http://schemas.openxmlformats.org/officeDocument/2006/relationships" name="Route API Matrix" sheetId="6" r:id="Rdc6d8447cf1f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3"/>
      <x:name val="Carlito"/>
    </x:font>
    <x:font>
      <x:b/>
    </x:font>
  </x:fonts>
  <x:fills count="10">
    <x:fill>
      <x:patternFill patternType="none"/>
    </x:fill>
    <x:fill>
      <x:patternFill patternType="gray125"/>
    </x:fill>
    <x:fill>
      <x:patternFill patternType="solid">
        <x:fgColor rgb="FF2F6F5E"/>
      </x:patternFill>
    </x:fill>
    <x:fill>
      <x:patternFill patternType="solid">
        <x:fgColor rgb="FFFCFAF5"/>
      </x:patternFill>
    </x:fill>
    <x:fill>
      <x:patternFill patternType="solid">
        <x:fgColor rgb="FFFFFFFF"/>
      </x:patternFill>
    </x:fill>
    <x:fill>
      <x:patternFill patternType="solid">
        <x:fgColor rgb="FFF7E7B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</x:fills>
  <x:borders count="5">
    <x:border/>
    <x:border>
      <x:top style="thin">
        <x:color rgb="FFD9D2C1"/>
      </x:top>
      <x:bottom style="thin">
        <x:color rgb="FFD9D2C1"/>
      </x:bottom>
    </x:border>
    <x:border>
      <x:left style="thin">
        <x:color rgb="FFD9D2C1"/>
      </x:left>
      <x:right style="thin">
        <x:color rgb="FFD9D2C1"/>
      </x:right>
      <x:top style="thin">
        <x:color rgb="FFD9D2C1"/>
      </x:top>
    </x:border>
    <x:border>
      <x:left style="thin">
        <x:color rgb="FFD9D2C1"/>
      </x:left>
      <x:right style="thin">
        <x:color rgb="FFD9D2C1"/>
      </x:right>
    </x:border>
    <x:border>
      <x:left style="thin">
        <x:color rgb="FFD9D2C1"/>
      </x:left>
      <x:right style="thin">
        <x:color rgb="FFD9D2C1"/>
      </x:right>
      <x:bottom style="thin">
        <x:color rgb="FFD9D2C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vertical="center" wrapText="1"/>
    </x:xf>
    <x:xf numFmtId="0" fontId="1" fillId="2" borderId="1" xfId="0" applyAlignment="1">
      <x:alignment vertical="center" wrapText="1"/>
    </x:xf>
    <x:xf numFmtId="0" fontId="0" fillId="0" borderId="1" xfId="0"/>
    <x:xf numFmtId="0" fontId="0" fillId="0" borderId="1" xfId="0" applyAlignment="1">
      <x:alignment wrapText="1"/>
    </x:xf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0" fillId="5" borderId="0" xfId="0"/>
    <x:xf numFmtId="0" fontId="3" fillId="5" borderId="0" xfId="0"/>
    <x:xf numFmtId="0" fontId="3" fillId="5" borderId="2" xfId="0"/>
    <x:xf numFmtId="0" fontId="3" fillId="5" borderId="3" xfId="0"/>
    <x:xf numFmtId="0" fontId="3" fillId="5" borderId="4" xfId="0"/>
    <x:xf numFmtId="0" fontId="0" fillId="4" borderId="0" xfId="0"/>
    <x:xf numFmtId="0" fontId="0" fillId="4" borderId="2" xfId="0"/>
    <x:xf numFmtId="0" fontId="0" fillId="4" borderId="3" xfId="0"/>
    <x:xf numFmtId="0" fontId="0" fillId="4" borderId="4" xfId="0"/>
    <x:xf numFmtId="0" fontId="0" fillId="4" borderId="2" xfId="0" applyAlignment="1">
      <x:alignment wrapText="1"/>
    </x:xf>
    <x:xf numFmtId="0" fontId="0" fillId="4" borderId="3" xfId="0" applyAlignment="1">
      <x:alignment wrapText="1"/>
    </x:xf>
    <x:xf numFmtId="0" fontId="0" fillId="4" borderId="4" xfId="0" applyAlignment="1">
      <x:alignment wrapText="1"/>
    </x:xf>
    <x:xf numFmtId="0" fontId="0" fillId="4" borderId="1" xfId="0"/>
    <x:xf numFmtId="0" fontId="0" fillId="4" borderId="1" xfId="0" applyAlignment="1">
      <x:alignment wrapText="1"/>
    </x:xf>
    <x:xf numFmtId="0" fontId="3" fillId="5" borderId="2" xfId="0" applyAlignment="1">
      <x:alignment vertical="top"/>
    </x:xf>
    <x:xf numFmtId="0" fontId="0" fillId="4" borderId="2" xfId="0" applyAlignment="1">
      <x:alignment vertical="top" wrapText="1"/>
    </x:xf>
    <x:xf numFmtId="0" fontId="0" fillId="0" borderId="0" xfId="0" applyAlignment="1">
      <x:alignment vertical="top"/>
    </x:xf>
    <x:xf numFmtId="0" fontId="3" fillId="5" borderId="3" xfId="0" applyAlignment="1">
      <x:alignment vertical="top"/>
    </x:xf>
    <x:xf numFmtId="0" fontId="0" fillId="4" borderId="3" xfId="0" applyAlignment="1">
      <x:alignment vertical="top" wrapText="1"/>
    </x:xf>
    <x:xf numFmtId="0" fontId="3" fillId="5" borderId="4" xfId="0" applyAlignment="1">
      <x:alignment vertical="top"/>
    </x:xf>
    <x:xf numFmtId="0" fontId="0" fillId="4" borderId="4" xfId="0" applyAlignment="1">
      <x:alignment vertical="top" wrapText="1"/>
    </x:xf>
    <x:xf numFmtId="0" fontId="1" fillId="2" borderId="0" xfId="0" applyAlignment="1">
      <x:alignment vertical="top"/>
    </x:xf>
    <x:xf numFmtId="0" fontId="4" fillId="2" borderId="0" xfId="0" applyAlignment="1">
      <x:alignment horizontal="center" vertical="center"/>
    </x:xf>
    <x:xf numFmtId="0" fontId="4" fillId="0" borderId="0" xfId="0"/>
    <x:xf numFmtId="0" fontId="4" fillId="2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6" borderId="0" xfId="0"/>
    <x:xf numFmtId="0" fontId="0" fillId="8" borderId="1" xfId="0" applyAlignment="1">
      <x:alignment vertical="top" wrapText="1"/>
    </x:xf>
    <x:xf numFmtId="0" fontId="0" fillId="9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992f5b07b423e" /><Relationship Type="http://schemas.openxmlformats.org/officeDocument/2006/relationships/theme" Target="/xl/theme/theme1.xml" Id="Rb051efdbe9a44b4b" /><Relationship Type="http://schemas.openxmlformats.org/officeDocument/2006/relationships/sharedStrings" Target="/xl/sharedStrings.xml" Id="R0b103aab32ce4911" /><Relationship Type="http://schemas.openxmlformats.org/officeDocument/2006/relationships/worksheet" Target="/xl/worksheets/sheet1.xml" Id="R97168422b5fa4e8b" /><Relationship Type="http://schemas.openxmlformats.org/officeDocument/2006/relationships/worksheet" Target="/xl/worksheets/sheet2.xml" Id="R2346f4ccadca4ddb" /><Relationship Type="http://schemas.openxmlformats.org/officeDocument/2006/relationships/worksheet" Target="/xl/worksheets/sheet3.xml" Id="R475b00abffcd442f" /><Relationship Type="http://schemas.openxmlformats.org/officeDocument/2006/relationships/worksheet" Target="/xl/worksheets/sheet4.xml" Id="R57466263d5f04300" /><Relationship Type="http://schemas.openxmlformats.org/officeDocument/2006/relationships/worksheet" Target="/xl/worksheets/sheet5.xml" Id="R84354561617740db" /><Relationship Type="http://schemas.openxmlformats.org/officeDocument/2006/relationships/worksheet" Target="/xl/worksheets/sheet6.xml" Id="Rdc6d8447cf1f4f56" /></Relationships>
</file>

<file path=xl/tables/table1.xml><?xml version="1.0" encoding="utf-8"?>
<x:table xmlns:x="http://schemas.openxmlformats.org/spreadsheetml/2006/main" id="1" name="FeatureStories" displayName="FeatureStories" ref="A1:O73" headerRowCount="1">
  <x:autoFilter ref="A1:O73"/>
  <x:tableColumns count="15">
    <x:tableColumn id="1" name="ID"/>
    <x:tableColumn id="2" name="Area"/>
    <x:tableColumn id="3" name="Feature"/>
    <x:tableColumn id="4" name="User Story"/>
    <x:tableColumn id="5" name="Actor"/>
    <x:tableColumn id="6" name="Entry Point"/>
    <x:tableColumn id="7" name="Expected Behavior"/>
    <x:tableColumn id="8" name="Code References"/>
    <x:tableColumn id="9" name="Implementation Status"/>
    <x:tableColumn id="10" name="Test Status"/>
    <x:tableColumn id="11" name="Existing Coverage"/>
    <x:tableColumn id="12" name="Manual Test Script"/>
    <x:tableColumn id="13" name="Defects"/>
    <x:tableColumn id="14" name="Fix Status"/>
    <x:tableColumn id="15" name="Retest Status"/>
  </x:tableColumns>
  <x:tableStyleInfo name="TableStyleMedium2"/>
</x:table>
</file>

<file path=xl/tables/table2.xml><?xml version="1.0" encoding="utf-8"?>
<x:table xmlns:x="http://schemas.openxmlformats.org/spreadsheetml/2006/main" id="2" name="TestLog" displayName="TestLog" ref="A1:H6" headerRowCount="1">
  <x:autoFilter ref="A1:H6"/>
  <x:tableColumns count="8">
    <x:tableColumn id="1" name="Story ID"/>
    <x:tableColumn id="2" name="Test Type"/>
    <x:tableColumn id="3" name="Command or Steps"/>
    <x:tableColumn id="4" name="Result"/>
    <x:tableColumn id="5" name="Evidence"/>
    <x:tableColumn id="6" name="Errors Found"/>
    <x:tableColumn id="7" name="Tested At"/>
    <x:tableColumn id="8" name="Retest Result"/>
  </x:tableColumns>
  <x:tableStyleInfo name="TableStyleMedium2"/>
</x:table>
</file>

<file path=xl/tables/table3.xml><?xml version="1.0" encoding="utf-8"?>
<x:table xmlns:x="http://schemas.openxmlformats.org/spreadsheetml/2006/main" id="3" name="Defects" displayName="Defects" ref="A1:L7" headerRowCount="1">
  <x:autoFilter ref="A1:L7"/>
  <x:tableColumns count="12">
    <x:tableColumn id="1" name="Defect ID"/>
    <x:tableColumn id="2" name="Story IDs"/>
    <x:tableColumn id="3" name="Priority"/>
    <x:tableColumn id="4" name="Category"/>
    <x:tableColumn id="5" name="Title"/>
    <x:tableColumn id="6" name="Observed"/>
    <x:tableColumn id="7" name="Expected"/>
    <x:tableColumn id="8" name="Status"/>
    <x:tableColumn id="9" name="Code References"/>
    <x:tableColumn id="10" name="Source"/>
    <x:tableColumn id="11" name="Retest Status"/>
    <x:tableColumn id="12" name="Fix Notes"/>
  </x:tableColumns>
  <x:tableStyleInfo name="TableStyleMedium2"/>
</x:table>
</file>

<file path=xl/tables/table4.xml><?xml version="1.0" encoding="utf-8"?>
<x:table xmlns:x="http://schemas.openxmlformats.org/spreadsheetml/2006/main" id="4" name="DormantBacklog" displayName="DormantBacklog" ref="A1:E7" headerRowCount="1">
  <x:autoFilter ref="A1:E7"/>
  <x:tableColumns count="5">
    <x:tableColumn id="1" name="ID"/>
    <x:tableColumn id="2" name="Item"/>
    <x:tableColumn id="3" name="Code Reference"/>
    <x:tableColumn id="4" name="Current State"/>
    <x:tableColumn id="5" name="Recommended Handling"/>
  </x:tableColumns>
  <x:tableStyleInfo name="TableStyleMedium2"/>
</x:table>
</file>

<file path=xl/tables/table5.xml><?xml version="1.0" encoding="utf-8"?>
<x:table xmlns:x="http://schemas.openxmlformats.org/spreadsheetml/2006/main" id="5" name="RouteApiMatrix" displayName="RouteApiMatrix" ref="A1:E48" headerRowCount="1">
  <x:autoFilter ref="A1:E48"/>
  <x:tableColumns count="5">
    <x:tableColumn id="1" name="Route or Surface"/>
    <x:tableColumn id="2" name="Method"/>
    <x:tableColumn id="3" name="Primary Feature IDs"/>
    <x:tableColumn id="4" name="Auth Gate"/>
    <x:tableColumn id="5" name="Expected Result"/>
  </x:tableColumns>
  <x:tableStyleInfo name="TableStyleMedium2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f68d9ecb3349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698d168ee244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914e0c6a5e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e51a53f7ca41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7f46cff91543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60" customWidth="1"/>
    <x:col min="3" max="3" width="56" customWidth="1"/>
    <x:col min="4" max="4" width="34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 ht="34" customHeight="1">
      <x:c r="A1" s="37" t="inlineStr">
        <x:is>
          <x:t xml:space="preserve">School-X Feature/User Story QA Tracker</x:t>
        </x:is>
      </x:c>
    </x:row>
    <x:row r="3">
      <x:c r="A3" s="29" t="inlineStr">
        <x:is>
          <x:t xml:space="preserve">Updated</x:t>
        </x:is>
      </x:c>
      <x:c r="B3" s="30" t="str">
        <x:v>2026-06-24 15:40 KST</x:v>
      </x:c>
      <x:c r="C3" s="31" t="n"/>
      <x:c r="D3" s="31" t="n"/>
    </x:row>
    <x:row r="4" ht="58" customHeight="1">
      <x:c r="A4" s="32" t="inlineStr">
        <x:is>
          <x:t xml:space="preserve">Canonical Workbook</x:t>
        </x:is>
      </x:c>
      <x:c r="B4" s="33" t="inlineStr">
        <x:is>
          <x:t xml:space="preserve">docs/qa/schoolx-feature-user-story-tracker.xlsx</x:t>
        </x:is>
      </x:c>
      <x:c r="C4" s="31" t="n"/>
      <x:c r="D4" s="31" t="n"/>
    </x:row>
    <x:row r="5" ht="82" customHeight="1">
      <x:c r="A5" s="32" t="inlineStr">
        <x:is>
          <x:t xml:space="preserve">Source Scope</x:t>
        </x:is>
      </x:c>
      <x:c r="B5" s="33" t="inlineStr">
        <x:is>
          <x:t xml:space="preserve">Routes, components, server services, domain types, mock data, migrations/docs overview, and existing tests.</x:t>
        </x:is>
      </x:c>
      <x:c r="C5" s="31" t="n"/>
      <x:c r="D5" s="31" t="n"/>
    </x:row>
    <x:row r="6" ht="58" customHeight="1">
      <x:c r="A6" s="32" t="inlineStr">
        <x:is>
          <x:t xml:space="preserve">Current Phase</x:t>
        </x:is>
      </x:c>
      <x:c r="B6" s="33" t="str">
        <x:v>Inventory complete; active defects fixed/retested; all executable tracked stories now have coverage evidence or explicit dormant N/A status.</x:v>
      </x:c>
      <x:c r="C6" s="31" t="n"/>
      <x:c r="D6" s="31" t="n"/>
    </x:row>
    <x:row r="7" ht="76" customHeight="1">
      <x:c r="A7" s="32" t="inlineStr">
        <x:is>
          <x:t xml:space="preserve">Next Phase</x:t>
        </x:is>
      </x:c>
      <x:c r="B7" s="33" t="str">
        <x:v>Maintain dormant UI backlog intentionally and add live external-provider checks when Google/Supabase test fixtures are available.</x:v>
      </x:c>
      <x:c r="C7" s="31" t="n"/>
      <x:c r="D7" s="31" t="n"/>
    </x:row>
    <x:row r="8">
      <x:c r="A8" s="32" t="inlineStr">
        <x:is>
          <x:t xml:space="preserve">Feature Rows</x:t>
        </x:is>
      </x:c>
      <x:c r="B8" s="33" t="n">
        <x:f>COUNTA('Feature Stories'!A2:A500)</x:f>
        <x:v>72</x:v>
      </x:c>
      <x:c r="C8" s="31" t="n"/>
      <x:c r="D8" s="31" t="n"/>
    </x:row>
    <x:row r="9">
      <x:c r="A9" s="32" t="inlineStr">
        <x:is>
          <x:t xml:space="preserve">Open Defects</x:t>
        </x:is>
      </x:c>
      <x:c r="B9" s="33" t="n">
        <x:f>COUNTIF('Defects'!H2:H200,"Open")</x:f>
        <x:v>0</x:v>
      </x:c>
      <x:c r="C9" s="31" t="n"/>
      <x:c r="D9" s="31" t="n"/>
    </x:row>
    <x:row r="10">
      <x:c r="A10" s="34" t="inlineStr">
        <x:is>
          <x:t xml:space="preserve">Dormant/Backlog Items</x:t>
        </x:is>
      </x:c>
      <x:c r="B10" s="35" t="n">
        <x:f>COUNTA('Dormant Backlog'!A2:A100)</x:f>
        <x:v>5</x:v>
      </x:c>
      <x:c r="C10" s="31" t="n"/>
      <x:c r="D10" s="31" t="n"/>
    </x:row>
    <x:row r="11">
      <x:c r="A11" s="31" t="n"/>
      <x:c r="B11" s="31" t="n"/>
      <x:c r="C11" s="31" t="n"/>
      <x:c r="D11" s="31" t="n"/>
    </x:row>
    <x:row r="12">
      <x:c r="A12" s="36" t="inlineStr">
        <x:is>
          <x:t xml:space="preserve">Status</x:t>
        </x:is>
      </x:c>
      <x:c r="B12" s="36" t="inlineStr">
        <x:is>
          <x:t xml:space="preserve">Count</x:t>
        </x:is>
      </x:c>
      <x:c r="C12" s="36" t="inlineStr">
        <x:is>
          <x:t xml:space="preserve">Meaning</x:t>
        </x:is>
      </x:c>
      <x:c r="D12" s="36" t="inlineStr">
        <x:is>
          <x:t xml:space="preserve">Action</x:t>
        </x:is>
      </x:c>
    </x:row>
    <x:row r="13">
      <x:c r="A13" s="11" t="inlineStr">
        <x:is>
          <x:t xml:space="preserve">Implemented</x:t>
        </x:is>
      </x:c>
      <x:c r="B13" s="11" t="n">
        <x:f>COUNTIF('Feature Stories'!I:I,A13)</x:f>
        <x:v>69</x:v>
      </x:c>
      <x:c r="C13" s="11" t="inlineStr">
        <x:is>
          <x:t xml:space="preserve">Code path is mounted or API is active.</x:t>
        </x:is>
      </x:c>
      <x:c r="D13" s="11" t="inlineStr">
        <x:is>
          <x:t xml:space="preserve">Test according to story.</x:t>
        </x:is>
      </x:c>
    </x:row>
    <x:row r="14">
      <x:c r="A14" s="11" t="inlineStr">
        <x:is>
          <x:t xml:space="preserve">Implemented With UX Issue</x:t>
        </x:is>
      </x:c>
      <x:c r="B14" s="11" t="n">
        <x:f>COUNTIF('Feature Stories'!I:I,A14)</x:f>
        <x:v>0</x:v>
      </x:c>
      <x:c r="C14" s="11" t="inlineStr">
        <x:is>
          <x:t xml:space="preserve">Works but has a documented UX/logistical issue.</x:t>
        </x:is>
      </x:c>
      <x:c r="D14" s="11" t="inlineStr">
        <x:is>
          <x:t xml:space="preserve">Fix then retest.</x:t>
        </x:is>
      </x:c>
    </x:row>
    <x:row r="15">
      <x:c r="A15" s="11" t="inlineStr">
        <x:is>
          <x:t xml:space="preserve">API Implemented; UI Dormant</x:t>
        </x:is>
      </x:c>
      <x:c r="B15" s="11" t="n">
        <x:f>COUNTIF('Feature Stories'!I:I,A15)</x:f>
        <x:v>2</x:v>
      </x:c>
      <x:c r="C15" s="11" t="inlineStr">
        <x:is>
          <x:t xml:space="preserve">Backend exists but no active mounted UI.</x:t>
        </x:is>
      </x:c>
      <x:c r="D15" s="11" t="inlineStr">
        <x:is>
          <x:t xml:space="preserve">Test API and decide UI handling.</x:t>
        </x:is>
      </x:c>
    </x:row>
    <x:row r="16">
      <x:c r="A16" s="11" t="inlineStr">
        <x:is>
          <x:t xml:space="preserve">Dormant/Incomplete</x:t>
        </x:is>
      </x:c>
      <x:c r="B16" s="11" t="n">
        <x:f>COUNTIF('Feature Stories'!I:I,A16)</x:f>
        <x:v>1</x:v>
      </x:c>
      <x:c r="C16" s="11" t="inlineStr">
        <x:is>
          <x:t xml:space="preserve">Component exists but is not mounted or lacks handlers.</x:t>
        </x:is>
      </x:c>
      <x:c r="D16" s="11" t="inlineStr">
        <x:is>
          <x:t xml:space="preserve">Do not treat as done behavior.</x:t>
        </x:is>
      </x:c>
    </x:row>
    <x:row r="17">
      <x:c r="A17" s="11" t="inlineStr">
        <x:is>
          <x:t xml:space="preserve">Planned</x:t>
        </x:is>
      </x:c>
      <x:c r="B17" s="11" t="n">
        <x:f>COUNTIF('Feature Stories'!I:I,A17)</x:f>
        <x:v>0</x:v>
      </x:c>
      <x:c r="C17" s="11" t="inlineStr">
        <x:is>
          <x:t xml:space="preserve">Tracked but not implemented.</x:t>
        </x:is>
      </x:c>
      <x:c r="D17" s="11" t="inlineStr">
        <x:is>
          <x:t xml:space="preserve">Backlog only.</x:t>
        </x:is>
      </x:c>
    </x:row>
    <x:row r="18">
      <x:c r="A18" s="31" t="n"/>
      <x:c r="B18" s="31" t="n"/>
      <x:c r="C18" s="31" t="n"/>
      <x:c r="D18" s="31" t="n"/>
    </x:row>
    <x:row r="19">
      <x:c r="A19" s="31" t="n"/>
      <x:c r="B19" s="31" t="n"/>
      <x:c r="C19" s="31" t="n"/>
      <x:c r="D19" s="31" t="n"/>
    </x:row>
    <x:row r="20">
      <x:c r="A20" s="36" t="inlineStr">
        <x:is>
          <x:t xml:space="preserve">Priority</x:t>
        </x:is>
      </x:c>
      <x:c r="B20" s="36" t="inlineStr">
        <x:is>
          <x:t xml:space="preserve">Count</x:t>
        </x:is>
      </x:c>
      <x:c r="C20" s="36" t="inlineStr">
        <x:is>
          <x:t xml:space="preserve">Definition</x:t>
        </x:is>
      </x:c>
      <x:c r="D20" s="36" t="inlineStr">
        <x:is>
          <x:t xml:space="preserve">Required Response</x:t>
        </x:is>
      </x:c>
    </x:row>
    <x:row r="21">
      <x:c r="A21" s="11" t="inlineStr">
        <x:is>
          <x:t xml:space="preserve">P0</x:t>
        </x:is>
      </x:c>
      <x:c r="B21" s="11" t="n">
        <x:f>COUNTIF(Defects!C:C,A21)</x:f>
        <x:v>0</x:v>
      </x:c>
      <x:c r="C21" s="11" t="inlineStr">
        <x:is>
          <x:t xml:space="preserve">Security/data-loss/blocking production issue.</x:t>
        </x:is>
      </x:c>
      <x:c r="D21" s="11" t="inlineStr">
        <x:is>
          <x:t xml:space="preserve">Stop and fix immediately.</x:t>
        </x:is>
      </x:c>
    </x:row>
    <x:row r="22">
      <x:c r="A22" s="11" t="inlineStr">
        <x:is>
          <x:t xml:space="preserve">P1</x:t>
        </x:is>
      </x:c>
      <x:c r="B22" s="11" t="n">
        <x:f>COUNTIF(Defects!C:C,A22)</x:f>
        <x:v>0</x:v>
      </x:c>
      <x:c r="C22" s="11" t="inlineStr">
        <x:is>
          <x:t xml:space="preserve">Major workflow blocked or high-risk regression.</x:t>
        </x:is>
      </x:c>
      <x:c r="D22" s="11" t="inlineStr">
        <x:is>
          <x:t xml:space="preserve">Fix before release.</x:t>
        </x:is>
      </x:c>
    </x:row>
    <x:row r="23">
      <x:c r="A23" s="11" t="inlineStr">
        <x:is>
          <x:t xml:space="preserve">P2</x:t>
        </x:is>
      </x:c>
      <x:c r="B23" s="11" t="n">
        <x:f>COUNTIF(Defects!C:C,A23)</x:f>
        <x:v>1</x:v>
      </x:c>
      <x:c r="C23" s="11" t="inlineStr">
        <x:is>
          <x:t xml:space="preserve">Important UX/logistical issue with clear user impact.</x:t>
        </x:is>
      </x:c>
      <x:c r="D23" s="11" t="inlineStr">
        <x:is>
          <x:t xml:space="preserve">Fix in this goal.</x:t>
        </x:is>
      </x:c>
    </x:row>
    <x:row r="24">
      <x:c r="A24" s="11" t="inlineStr">
        <x:is>
          <x:t xml:space="preserve">P3</x:t>
        </x:is>
      </x:c>
      <x:c r="B24" s="11" t="n">
        <x:f>COUNTIF(Defects!C:C,A24)</x:f>
        <x:v>5</x:v>
      </x:c>
      <x:c r="C24" s="11" t="inlineStr">
        <x:is>
          <x:t xml:space="preserve">Moderate polish or confusing behavior.</x:t>
        </x:is>
      </x:c>
      <x:c r="D24" s="11" t="inlineStr">
        <x:is>
          <x:t xml:space="preserve">Fix if low-risk in this goal.</x:t>
        </x:is>
      </x:c>
    </x:row>
    <x:row r="25">
      <x:c r="A25" s="11" t="inlineStr">
        <x:is>
          <x:t xml:space="preserve">P4</x:t>
        </x:is>
      </x:c>
      <x:c r="B25" s="11" t="n">
        <x:f>COUNTIF(Defects!C:C,A25)</x:f>
        <x:v>1</x:v>
      </x:c>
      <x:c r="C25" s="11" t="inlineStr">
        <x:is>
          <x:t xml:space="preserve">Dormant cleanup or low-risk maintenance.</x:t>
        </x:is>
      </x:c>
      <x:c r="D25" s="11" t="inlineStr">
        <x:is>
          <x:t xml:space="preserve">Track unless it blocks testing.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3" customWidth="1"/>
    <x:col min="3" max="3" width="58" customWidth="1"/>
    <x:col min="4" max="4" width="60" customWidth="1"/>
    <x:col min="5" max="5" width="32" customWidth="1"/>
    <x:col min="6" max="6" width="53" customWidth="1"/>
    <x:col min="7" max="7" width="60" customWidth="1"/>
    <x:col min="8" max="8" width="60" customWidth="1"/>
    <x:col min="9" max="9" width="29" customWidth="1"/>
    <x:col min="10" max="10" width="34" customWidth="1"/>
    <x:col min="11" max="11" width="60" customWidth="1"/>
    <x:col min="12" max="12" width="60" customWidth="1"/>
    <x:col min="13" max="13" width="12" customWidth="1"/>
    <x:col min="14" max="14" width="17" customWidth="1"/>
    <x:col min="15" max="15" width="22" customWidth="1"/>
  </x:cols>
  <x:sheetData>
    <x:row r="1" ht="28" customHeight="1">
      <x:c r="A1" s="39" t="str">
        <x:v>ID</x:v>
      </x:c>
      <x:c r="B1" s="39" t="str">
        <x:v>Area</x:v>
      </x:c>
      <x:c r="C1" s="39" t="str">
        <x:v>Feature</x:v>
      </x:c>
      <x:c r="D1" s="39" t="str">
        <x:v>User Story</x:v>
      </x:c>
      <x:c r="E1" s="39" t="str">
        <x:v>Actor</x:v>
      </x:c>
      <x:c r="F1" s="39" t="str">
        <x:v>Entry Point</x:v>
      </x:c>
      <x:c r="G1" s="39" t="str">
        <x:v>Expected Behavior</x:v>
      </x:c>
      <x:c r="H1" s="39" t="str">
        <x:v>Code References</x:v>
      </x:c>
      <x:c r="I1" s="39" t="str">
        <x:v>Implementation Status</x:v>
      </x:c>
      <x:c r="J1" s="39" t="str">
        <x:v>Test Status</x:v>
      </x:c>
      <x:c r="K1" s="39" t="str">
        <x:v>Existing Coverage</x:v>
      </x:c>
      <x:c r="L1" s="39" t="str">
        <x:v>Manual Test Script</x:v>
      </x:c>
      <x:c r="M1" s="39" t="str">
        <x:v>Defects</x:v>
      </x:c>
      <x:c r="N1" s="39" t="str">
        <x:v>Fix Status</x:v>
      </x:c>
      <x:c r="O1" s="39" t="str">
        <x:v>Retest Status</x:v>
      </x:c>
    </x:row>
    <x:row r="2">
      <x:c r="A2" s="10" t="str">
        <x:v>F001</x:v>
      </x:c>
      <x:c r="B2" s="10" t="str">
        <x:v>Auth</x:v>
      </x:c>
      <x:c r="C2" s="10" t="str">
        <x:v>Root auth redirect</x:v>
      </x:c>
      <x:c r="D2" s="10" t="str">
        <x:v>As a visitor, I want the app root to send me to the right place so I do not land on a blank shell.</x:v>
      </x:c>
      <x:c r="E2" s="10" t="str">
        <x:v>Visitor or signed-in user</x:v>
      </x:c>
      <x:c r="F2" s="10" t="str">
        <x:v>/</x:v>
      </x:c>
      <x:c r="G2" s="10" t="str">
        <x:v>Unauthenticated users redirect to /login; authenticated users redirect to /office.</x:v>
      </x:c>
      <x:c r="H2" s="10" t="str">
        <x:v>src/app/page.tsx; src/server/auth/get-current-user.ts</x:v>
      </x:c>
      <x:c r="I2" s="10" t="str">
        <x:v>Implemented</x:v>
      </x:c>
      <x:c r="J2" s="40" t="str">
        <x:v>E2E Smoke Covered</x:v>
      </x:c>
      <x:c r="K2" s="10" t="str">
        <x:v>tests/e2e/smoke.spec.ts</x:v>
      </x:c>
      <x:c r="L2" s="10" t="str">
        <x:v>Visit / while unauthenticated and authenticated; confirm redirects.</x:v>
      </x:c>
      <x:c r="M2" s="10"/>
      <x:c r="N2" s="10" t="str">
        <x:v>No Defect</x:v>
      </x:c>
      <x:c r="O2" s="10" t="str">
        <x:v>Passed</x:v>
      </x:c>
    </x:row>
    <x:row r="3">
      <x:c r="A3" s="11" t="str">
        <x:v>F002</x:v>
      </x:c>
      <x:c r="B3" s="11" t="str">
        <x:v>Auth</x:v>
      </x:c>
      <x:c r="C3" s="11" t="str">
        <x:v>Login page and error messaging</x:v>
      </x:c>
      <x:c r="D3" s="11" t="str">
        <x:v>As an approved teacher, I want a clear login page with actionable errors so I know how to enter the office.</x:v>
      </x:c>
      <x:c r="E3" s="11" t="str">
        <x:v>Approved or unapproved teacher</x:v>
      </x:c>
      <x:c r="F3" s="11" t="str">
        <x:v>/login</x:v>
      </x:c>
      <x:c r="G3" s="11" t="str">
        <x:v>Shows Google login, optional dev admin login by host/env, mock-mode hint, and not-approved/oauth/dev-login error messages.</x:v>
      </x:c>
      <x:c r="H3" s="11" t="str">
        <x:v>src/app/(auth)/login/page.tsx; src/server/auth/dev-login.ts</x:v>
      </x:c>
      <x:c r="I3" s="11" t="str">
        <x:v>Implemented</x:v>
      </x:c>
      <x:c r="J3" s="40" t="str">
        <x:v>E2E Smoke Covered</x:v>
      </x:c>
      <x:c r="K3" s="11" t="str">
        <x:v>tests/e2e/smoke.spec.ts</x:v>
      </x:c>
      <x:c r="L3" s="11" t="str">
        <x:v>Open /login and verify heading, Google CTA, conditional dev CTA, and each error query string.</x:v>
      </x:c>
      <x:c r="M3" s="11"/>
      <x:c r="N3" s="11" t="str">
        <x:v>No Defect</x:v>
      </x:c>
      <x:c r="O3" s="40" t="str">
        <x:v>Passed</x:v>
      </x:c>
    </x:row>
    <x:row r="4">
      <x:c r="A4" s="10" t="str">
        <x:v>F003</x:v>
      </x:c>
      <x:c r="B4" s="10" t="str">
        <x:v>Auth</x:v>
      </x:c>
      <x:c r="C4" s="10" t="str">
        <x:v>Google OAuth start and approved-user onboarding</x:v>
      </x:c>
      <x:c r="D4" s="10" t="str">
        <x:v>As an approved Google user, I want OAuth to create or refresh my profile and room access so I can use the office.</x:v>
      </x:c>
      <x:c r="E4" s="10" t="str">
        <x:v>Approved Google user</x:v>
      </x:c>
      <x:c r="F4" s="10" t="str">
        <x:v>/auth/login; /auth/callback</x:v>
      </x:c>
      <x:c r="G4" s="10" t="str">
        <x:v>OAuth redirects to Google, exchanges callback code, rejects inactive or missing allowed users, creates/updates profile, grants all rooms for admins or configured all-room users, otherwise grants meeting membership.</x:v>
      </x:c>
      <x:c r="H4" s="10" t="str">
        <x:v>src/app/auth/login/route.ts; src/app/auth/callback/route.ts</x:v>
      </x:c>
      <x:c r="I4" s="10" t="str">
        <x:v>Implemented</x:v>
      </x:c>
      <x:c r="J4" s="43" t="str">
        <x:v>Unit Covered</x:v>
      </x:c>
      <x:c r="K4" s="10" t="str">
        <x:v>tests/unit/auth-routes.test.ts</x:v>
      </x:c>
      <x:c r="L4" s="10" t="str">
        <x:v>Exercise OAuth callback with approved, inactive, and missing allowed-user cases in integration or route tests.</x:v>
      </x:c>
      <x:c r="M4" s="10"/>
      <x:c r="N4" s="10" t="str">
        <x:v>No Defect</x:v>
      </x:c>
      <x:c r="O4" s="10" t="str">
        <x:v>Passed</x:v>
      </x:c>
    </x:row>
    <x:row r="5">
      <x:c r="A5" s="11" t="str">
        <x:v>F004</x:v>
      </x:c>
      <x:c r="B5" s="11" t="str">
        <x:v>Auth</x:v>
      </x:c>
      <x:c r="C5" s="11" t="str">
        <x:v>Development login</x:v>
      </x:c>
      <x:c r="D5" s="11" t="str">
        <x:v>As a local developer, I want a safe dev login path so I can test admin-only flows without OAuth.</x:v>
      </x:c>
      <x:c r="E5" s="11" t="str">
        <x:v>Developer</x:v>
      </x:c>
      <x:c r="F5" s="11" t="str">
        <x:v>/auth/dev-login</x:v>
      </x:c>
      <x:c r="G5" s="11" t="str">
        <x:v>When enabled for the host, the route verifies an active allowed user/profile, clears stale Supabase cookies, sets the app session cookie, and redirects only to safe relative next paths.</x:v>
      </x:c>
      <x:c r="H5" s="11" t="str">
        <x:v>src/app/auth/dev-login/route.ts; src/server/auth/dev-login.ts</x:v>
      </x:c>
      <x:c r="I5" s="11" t="str">
        <x:v>Implemented</x:v>
      </x:c>
      <x:c r="J5" s="43" t="str">
        <x:v>Unit Covered</x:v>
      </x:c>
      <x:c r="K5" s="11" t="str">
        <x:v>tests/unit/auth-routes.test.ts</x:v>
      </x:c>
      <x:c r="L5" s="11" t="str">
        <x:v>Call /auth/dev-login with enabled/disabled env and safe/unsafe next values.</x:v>
      </x:c>
      <x:c r="M5" s="11"/>
      <x:c r="N5" s="11" t="str">
        <x:v>No Defect</x:v>
      </x:c>
      <x:c r="O5" s="11" t="str">
        <x:v>Passed</x:v>
      </x:c>
    </x:row>
    <x:row r="6">
      <x:c r="A6" s="10" t="str">
        <x:v>F005</x:v>
      </x:c>
      <x:c r="B6" s="10" t="str">
        <x:v>Auth</x:v>
      </x:c>
      <x:c r="C6" s="10" t="str">
        <x:v>Logout</x:v>
      </x:c>
      <x:c r="D6" s="10" t="str">
        <x:v>As a signed-in user, I want logout to reliably clear session state so another user cannot inherit my session.</x:v>
      </x:c>
      <x:c r="E6" s="10" t="str">
        <x:v>Signed-in user</x:v>
      </x:c>
      <x:c r="F6" s="10" t="str">
        <x:v>/logout; header logout button</x:v>
      </x:c>
      <x:c r="G6" s="10" t="str">
        <x:v>Prefetch requests return 204; real logout signs out Supabase when active, clears Supabase and app-session cookies, and redirects to /login.</x:v>
      </x:c>
      <x:c r="H6" s="10" t="str">
        <x:v>src/app/logout/route.ts; src/components/layout/TopHeader.tsx</x:v>
      </x:c>
      <x:c r="I6" s="10" t="str">
        <x:v>Implemented</x:v>
      </x:c>
      <x:c r="J6" s="44" t="str">
        <x:v>Unit Covered</x:v>
      </x:c>
      <x:c r="K6" s="10" t="str">
        <x:v>tests/unit/auth-routes.test.ts</x:v>
      </x:c>
      <x:c r="L6" s="10" t="str">
        <x:v>Click logout and verify cookies are cleared and /login loads; verify prefetch returns 204.</x:v>
      </x:c>
      <x:c r="M6" s="10"/>
      <x:c r="N6" s="10" t="str">
        <x:v>No Defect</x:v>
      </x:c>
      <x:c r="O6" s="10" t="str">
        <x:v>Passed</x:v>
      </x:c>
    </x:row>
    <x:row r="7">
      <x:c r="A7" s="11" t="str">
        <x:v>F006</x:v>
      </x:c>
      <x:c r="B7" s="11" t="str">
        <x:v>Auth/Ops</x:v>
      </x:c>
      <x:c r="C7" s="11" t="str">
        <x:v>Auth diagnostics</x:v>
      </x:c>
      <x:c r="D7" s="11" t="str">
        <x:v>As an operator, I want gated auth diagnostics so I can debug cookie/session state without exposing it in production.</x:v>
      </x:c>
      <x:c r="E7" s="11" t="str">
        <x:v>Operator</x:v>
      </x:c>
      <x:c r="F7" s="11" t="str">
        <x:v>/auth/status; /api/auth/debug</x:v>
      </x:c>
      <x:c r="G7" s="11" t="str">
        <x:v>Diagnostics are available only when auth debug is enabled; response reports current project cookies, Supabase/app-session state, and mock/supabase mode.</x:v>
      </x:c>
      <x:c r="H7" s="11" t="str">
        <x:v>src/app/auth/status/page.tsx; src/app/api/auth/debug/route.ts; src/lib/env.ts</x:v>
      </x:c>
      <x:c r="I7" s="11" t="str">
        <x:v>Implemented</x:v>
      </x:c>
      <x:c r="J7" s="11" t="str">
        <x:v>Unit Covered</x:v>
      </x:c>
      <x:c r="K7" s="11" t="str">
        <x:v>tests/unit/env-guards.test.ts</x:v>
      </x:c>
      <x:c r="L7" s="11" t="str">
        <x:v>Verify 404 when disabled; verify safe diagnostic fields when enabled.</x:v>
      </x:c>
      <x:c r="M7" s="11"/>
      <x:c r="N7" s="11" t="str">
        <x:v>No Defect</x:v>
      </x:c>
      <x:c r="O7" s="11" t="str">
        <x:v>Passed</x:v>
      </x:c>
    </x:row>
    <x:row r="8">
      <x:c r="A8" s="10" t="str">
        <x:v>F007</x:v>
      </x:c>
      <x:c r="B8" s="10" t="str">
        <x:v>Shell/Profile</x:v>
      </x:c>
      <x:c r="C8" s="10" t="str">
        <x:v>Top header and profile settings</x:v>
      </x:c>
      <x:c r="D8" s="10" t="str">
        <x:v>As a signed-in user, I want to see my identity, update my profile, reach admin when allowed, and sign out.</x:v>
      </x:c>
      <x:c r="E8" s="10" t="str">
        <x:v>Signed-in user</x:v>
      </x:c>
      <x:c r="F8" s="10" t="str">
        <x:v>Top header</x:v>
      </x:c>
      <x:c r="G8" s="10" t="str">
        <x:v>Header links to /office, shows auth/admin status, opens profile dialog, saves display name/avatar/bio with validation and audit log, shows admin settings only for admins, and exposes logout.</x:v>
      </x:c>
      <x:c r="H8" s="10" t="str">
        <x:v>src/components/layout/TopHeader.tsx; src/components/layout/ProfileSettingsDialog.tsx; src/app/api/profile/route.ts</x:v>
      </x:c>
      <x:c r="I8" s="10" t="str">
        <x:v>Implemented</x:v>
      </x:c>
      <x:c r="J8" s="10" t="str">
        <x:v>Component Covered</x:v>
      </x:c>
      <x:c r="K8" s="10" t="str">
        <x:v>tests/components/top-header.test.tsx</x:v>
      </x:c>
      <x:c r="L8" s="10" t="str">
        <x:v>Open profile dialog; save valid/invalid fields; verify admin link visibility.</x:v>
      </x:c>
      <x:c r="M8" s="10"/>
      <x:c r="N8" s="10" t="str">
        <x:v>No Defect</x:v>
      </x:c>
      <x:c r="O8" s="10" t="str">
        <x:v>Passed</x:v>
      </x:c>
    </x:row>
    <x:row r="9">
      <x:c r="A9" s="11" t="str">
        <x:v>F008</x:v>
      </x:c>
      <x:c r="B9" s="11" t="str">
        <x:v>Navigation</x:v>
      </x:c>
      <x:c r="C9" s="11" t="str">
        <x:v>Sidebar room navigation</x:v>
      </x:c>
      <x:c r="D9" s="11" t="str">
        <x:v>As a room member, I want navigation to show which rooms I can enter so I do not click locked rooms.</x:v>
      </x:c>
      <x:c r="E9" s="11" t="str">
        <x:v>Room member</x:v>
      </x:c>
      <x:c r="F9" s="11" t="str">
        <x:v>App shell sidebar</x:v>
      </x:c>
      <x:c r="G9" s="11" t="str">
        <x:v>Meeting is listed first; department and project rooms follow; rooms without membership render disabled with lock icon; accessible rooms link to /rooms/{id}.</x:v>
      </x:c>
      <x:c r="H9" s="11" t="str">
        <x:v>src/components/layout/SidebarPanel.tsx; src/components/layout/AppShell.tsx</x:v>
      </x:c>
      <x:c r="I9" s="11" t="str">
        <x:v>Implemented</x:v>
      </x:c>
      <x:c r="J9" s="11" t="str">
        <x:v>Component + Browser Covered</x:v>
      </x:c>
      <x:c r="K9" s="11" t="str">
        <x:v>tests/components/sidebar-panel.test.tsx; post-fix browser retest</x:v>
      </x:c>
      <x:c r="L9" s="11" t="str">
        <x:v>Open a room page with mixed memberships; verify accessible links and locked rows.</x:v>
      </x:c>
      <x:c r="M9" s="11" t="str">
        <x:v>D002</x:v>
      </x:c>
      <x:c r="N9" s="40" t="str">
        <x:v>Fixed</x:v>
      </x:c>
      <x:c r="O9" s="40" t="str">
        <x:v>Passed</x:v>
      </x:c>
    </x:row>
    <x:row r="10">
      <x:c r="A10" s="10" t="str">
        <x:v>F009</x:v>
      </x:c>
      <x:c r="B10" s="10" t="str">
        <x:v>Config/Ops</x:v>
      </x:c>
      <x:c r="C10" s="10" t="str">
        <x:v>Environment mode guards and health check</x:v>
      </x:c>
      <x:c r="D10" s="10" t="str">
        <x:v>As an operator, I want safe mock/supabase mode selection and a minimal health endpoint so deploys fail safely.</x:v>
      </x:c>
      <x:c r="E10" s="10" t="str">
        <x:v>Operator</x:v>
      </x:c>
      <x:c r="F10" s="10" t="str">
        <x:v>/api/health; env loading</x:v>
      </x:c>
      <x:c r="G10" s="10" t="str">
        <x:v>Development can use mock fallback; production rejects mock mode or missing Supabase service role; health returns ok/degraded without secrets.</x:v>
      </x:c>
      <x:c r="H10" s="10" t="str">
        <x:v>src/lib/env.ts; src/app/api/health/route.ts; src/instrumentation.ts</x:v>
      </x:c>
      <x:c r="I10" s="10" t="str">
        <x:v>Implemented</x:v>
      </x:c>
      <x:c r="J10" s="10" t="str">
        <x:v>Unit Covered</x:v>
      </x:c>
      <x:c r="K10" s="10" t="str">
        <x:v>tests/unit/env-guards.test.ts</x:v>
      </x:c>
      <x:c r="L10" s="10" t="str">
        <x:v>Run health in mock and supabase-configured modes; verify production guard behavior.</x:v>
      </x:c>
      <x:c r="M10" s="10"/>
      <x:c r="N10" s="10" t="str">
        <x:v>No Defect</x:v>
      </x:c>
      <x:c r="O10" s="10" t="str">
        <x:v>Passed</x:v>
      </x:c>
    </x:row>
    <x:row r="11">
      <x:c r="A11" s="11" t="str">
        <x:v>F010</x:v>
      </x:c>
      <x:c r="B11" s="11" t="str">
        <x:v>Office</x:v>
      </x:c>
      <x:c r="C11" s="11" t="str">
        <x:v>Office floor plan</x:v>
      </x:c>
      <x:c r="D11" s="11" t="str">
        <x:v>As a member, I want a visual office map so I can enter active rooms and understand room purpose.</x:v>
      </x:c>
      <x:c r="E11" s="11" t="str">
        <x:v>Room member</x:v>
      </x:c>
      <x:c r="F11" s="11" t="str">
        <x:v>/office</x:v>
      </x:c>
      <x:c r="G11" s="11" t="str">
        <x:v>Shows active room layout for finance, planning, external, meeting, development, research, promotion, province research, Gwangju-Hanam research, and science museum; inactive city room is omitted from map; membership controls open/locked state; each active non-meeting room shows resident bot.</x:v>
      </x:c>
      <x:c r="H11" s="11" t="str">
        <x:v>src/components/office/OfficeFloorPlan.tsx; src/components/office/RoomCard.tsx; src/lib/mock-data.ts</x:v>
      </x:c>
      <x:c r="I11" s="11" t="str">
        <x:v>Implemented</x:v>
      </x:c>
      <x:c r="J11" s="11" t="str">
        <x:v>Covered</x:v>
      </x:c>
      <x:c r="K11" s="11" t="str">
        <x:v>tests/components/cards.test.tsx; tests/e2e/smoke.spec.ts</x:v>
      </x:c>
      <x:c r="L11" s="11" t="str">
        <x:v>Open /office and verify active rooms, bot labels, locked state, and links.</x:v>
      </x:c>
      <x:c r="M11" s="11"/>
      <x:c r="N11" s="11" t="str">
        <x:v>No Defect</x:v>
      </x:c>
      <x:c r="O11" s="11" t="str">
        <x:v>Passed</x:v>
      </x:c>
    </x:row>
    <x:row r="12">
      <x:c r="A12" s="10" t="str">
        <x:v>F011</x:v>
      </x:c>
      <x:c r="B12" s="10" t="str">
        <x:v>Office/Ops</x:v>
      </x:c>
      <x:c r="C12" s="10" t="str">
        <x:v>Operation status card</x:v>
      </x:c>
      <x:c r="D12" s="10" t="str">
        <x:v>As an operator, I want today's shared items, briefings, and active tasks at a glance so I can triage work.</x:v>
      </x:c>
      <x:c r="E12" s="10" t="str">
        <x:v>Room member</x:v>
      </x:c>
      <x:c r="F12" s="10" t="str">
        <x:v>/office side panel</x:v>
      </x:c>
      <x:c r="G12" s="10" t="str">
        <x:v>Initial server snapshot renders, then client refreshes /api/office/operation-status every 15 seconds; stale/error state changes pill to confirmation-needed.</x:v>
      </x:c>
      <x:c r="H12" s="10" t="str">
        <x:v>src/components/office/OperationStatusCard.tsx; src/app/api/office/operation-status/route.ts; src/server/office/operation-status-service.ts</x:v>
      </x:c>
      <x:c r="I12" s="10" t="str">
        <x:v>Implemented</x:v>
      </x:c>
      <x:c r="J12" s="10" t="str">
        <x:v>Unit Covered</x:v>
      </x:c>
      <x:c r="K12" s="10" t="str">
        <x:v>tests/unit/operation-status.test.ts</x:v>
      </x:c>
      <x:c r="L12" s="10" t="str">
        <x:v>Open office and stub status API success/failure; verify counts and status pill.</x:v>
      </x:c>
      <x:c r="M12" s="10"/>
      <x:c r="N12" s="10" t="str">
        <x:v>No Defect</x:v>
      </x:c>
      <x:c r="O12" s="10" t="str">
        <x:v>Passed</x:v>
      </x:c>
    </x:row>
    <x:row r="13">
      <x:c r="A13" s="11" t="str">
        <x:v>F012</x:v>
      </x:c>
      <x:c r="B13" s="11" t="str">
        <x:v>Office</x:v>
      </x:c>
      <x:c r="C13" s="11" t="str">
        <x:v>Meeting side panel quick actions and recent shares</x:v>
      </x:c>
      <x:c r="D13" s="11" t="str">
        <x:v>As a member, I want meeting-room shortcuts and recent shared cards so I can quickly move work into the hub.</x:v>
      </x:c>
      <x:c r="E13" s="11" t="str">
        <x:v>Room member</x:v>
      </x:c>
      <x:c r="F13" s="11" t="str">
        <x:v>/office side panel</x:v>
      </x:c>
      <x:c r="G13" s="11" t="str">
        <x:v>Shows meeting hub copy, four shortcuts that navigate to /rooms/meeting, compact video meeting panel, up to three recent meeting shared items, and a data-flow note.</x:v>
      </x:c>
      <x:c r="H13" s="11" t="str">
        <x:v>src/components/office/MeetingSidePanel.tsx</x:v>
      </x:c>
      <x:c r="I13" s="11" t="str">
        <x:v>Implemented</x:v>
      </x:c>
      <x:c r="J13" s="41" t="str">
        <x:v>Component + E2E Smoke Covered</x:v>
      </x:c>
      <x:c r="K13" s="11" t="str">
        <x:v>tests/components/cards.test.tsx; tests/e2e/smoke.spec.ts</x:v>
      </x:c>
      <x:c r="L13" s="11" t="str">
        <x:v>Open /office and click each shortcut; verify recent shared card presence/empty state.</x:v>
      </x:c>
      <x:c r="M13" s="11"/>
      <x:c r="N13" s="11" t="str">
        <x:v>No Defect</x:v>
      </x:c>
      <x:c r="O13" s="11" t="str">
        <x:v>Passed</x:v>
      </x:c>
    </x:row>
    <x:row r="14">
      <x:c r="A14" s="10" t="str">
        <x:v>F013</x:v>
      </x:c>
      <x:c r="B14" s="10" t="str">
        <x:v>Rooms</x:v>
      </x:c>
      <x:c r="C14" s="10" t="str">
        <x:v>Room workspace shell</x:v>
      </x:c>
      <x:c r="D14" s="10" t="str">
        <x:v>As a room member, I want a clear room header and panels so I understand where I am and who/what is active.</x:v>
      </x:c>
      <x:c r="E14" s="10" t="str">
        <x:v>Room member</x:v>
      </x:c>
      <x:c r="F14" s="10" t="str">
        <x:v>/rooms/{roomId}</x:v>
      </x:c>
      <x:c r="G14" s="10" t="str">
        <x:v>Header shows back button, room icon/name/type, resident-bot status or no-bot status, member avatar stack, active meeting banner for meeting room, chat, description, video panel for meeting, and right panel.</x:v>
      </x:c>
      <x:c r="H14" s="10" t="str">
        <x:v>src/components/rooms/RoomWorkspace.tsx; src/server/rooms/get-room-view.ts</x:v>
      </x:c>
      <x:c r="I14" s="10" t="str">
        <x:v>Implemented</x:v>
      </x:c>
      <x:c r="J14" s="40" t="str">
        <x:v>E2E Smoke Covered</x:v>
      </x:c>
      <x:c r="K14" s="10" t="str">
        <x:v>tests/e2e/smoke.spec.ts</x:v>
      </x:c>
      <x:c r="L14" s="10" t="str">
        <x:v>Open meeting and a work room; verify header, panels, and meeting-only sections.</x:v>
      </x:c>
      <x:c r="M14" s="10"/>
      <x:c r="N14" s="10" t="str">
        <x:v>No Defect</x:v>
      </x:c>
      <x:c r="O14" s="40" t="str">
        <x:v>Passed</x:v>
      </x:c>
    </x:row>
    <x:row r="15">
      <x:c r="A15" s="11" t="str">
        <x:v>F014</x:v>
      </x:c>
      <x:c r="B15" s="11" t="str">
        <x:v>Rooms/Auth</x:v>
      </x:c>
      <x:c r="C15" s="11" t="str">
        <x:v>Room access and active-room gating</x:v>
      </x:c>
      <x:c r="D15" s="11" t="str">
        <x:v>As a user, I should only enter active rooms where I have membership.</x:v>
      </x:c>
      <x:c r="E15" s="11" t="str">
        <x:v>Room member</x:v>
      </x:c>
      <x:c r="F15" s="11" t="str">
        <x:v>/rooms/{roomId}</x:v>
      </x:c>
      <x:c r="G15" s="11" t="str">
        <x:v>Room page requires auth; missing membership returns forbidden via server guard; inactive or unknown room returns notFound; active rooms load view model.</x:v>
      </x:c>
      <x:c r="H15" s="11" t="str">
        <x:v>src/app/(workspace)/rooms/[roomId]/page.tsx; src/server/rooms/get-room-view.ts; src/server/auth/require-room-member.ts</x:v>
      </x:c>
      <x:c r="I15" s="11" t="str">
        <x:v>Implemented</x:v>
      </x:c>
      <x:c r="J15" s="40" t="str">
        <x:v>Unit + E2E Smoke Covered</x:v>
      </x:c>
      <x:c r="K15" s="11" t="str">
        <x:v>tests/unit/room-decision-task.test.ts; tests/unit/list-route-authorization.test.ts; tests/e2e/smoke.spec.ts</x:v>
      </x:c>
      <x:c r="L15" s="11" t="str">
        <x:v>Attempt accessible, inaccessible, inactive city_research, and missing room routes.</x:v>
      </x:c>
      <x:c r="M15" s="11"/>
      <x:c r="N15" s="11" t="str">
        <x:v>No Defect</x:v>
      </x:c>
      <x:c r="O15" s="11" t="str">
        <x:v>Passed for inactive room and accessible mock routes</x:v>
      </x:c>
    </x:row>
    <x:row r="16">
      <x:c r="A16" s="10" t="str">
        <x:v>F015</x:v>
      </x:c>
      <x:c r="B16" s="10" t="str">
        <x:v>Threads</x:v>
      </x:c>
      <x:c r="C16" s="10" t="str">
        <x:v>Thread selection</x:v>
      </x:c>
      <x:c r="D16" s="10" t="str">
        <x:v>As a room member, I want to switch between conversations so each topic has its own context.</x:v>
      </x:c>
      <x:c r="E16" s="10" t="str">
        <x:v>Room member</x:v>
      </x:c>
      <x:c r="F16" s="10" t="str">
        <x:v>Room chat header</x:v>
      </x:c>
      <x:c r="G16" s="10" t="str">
        <x:v>Thread select pushes ?threadId=... and resolveRoomThread verifies the selected thread belongs to the current room before loading messages.</x:v>
      </x:c>
      <x:c r="H16" s="10" t="str">
        <x:v>src/components/rooms/RoomThreadControls.tsx; src/server/rooms/thread-service.ts</x:v>
      </x:c>
      <x:c r="I16" s="10" t="str">
        <x:v>Implemented</x:v>
      </x:c>
      <x:c r="J16" s="10" t="str">
        <x:v>Unit Covered</x:v>
      </x:c>
      <x:c r="K16" s="10" t="str">
        <x:v>tests/unit/thread-context.test.ts</x:v>
      </x:c>
      <x:c r="L16" s="10" t="str">
        <x:v>Create or seed multiple threads, switch select, and verify messages change.</x:v>
      </x:c>
      <x:c r="M16" s="10"/>
      <x:c r="N16" s="10" t="str">
        <x:v>No Defect</x:v>
      </x:c>
      <x:c r="O16" s="10" t="str">
        <x:v>Passed</x:v>
      </x:c>
    </x:row>
    <x:row r="17">
      <x:c r="A17" s="11" t="str">
        <x:v>F016</x:v>
      </x:c>
      <x:c r="B17" s="11" t="str">
        <x:v>Threads</x:v>
      </x:c>
      <x:c r="C17" s="11" t="str">
        <x:v>New thread with carryover summary</x:v>
      </x:c>
      <x:c r="D17" s="11" t="str">
        <x:v>As a room member, I want a fresh conversation to inherit only useful summaries so the bot has continuity without replaying old chats.</x:v>
      </x:c>
      <x:c r="E17" s="11" t="str">
        <x:v>Room member</x:v>
      </x:c>
      <x:c r="F17" s="11" t="str">
        <x:v>New conversation button</x:v>
      </x:c>
      <x:c r="G17" s="11" t="str">
        <x:v>POST creates an active thread with title or auto title, builds carryover summary from room memory, previous thread summary, recent decisions, and active tasks, and writes audit log.</x:v>
      </x:c>
      <x:c r="H17" s="11" t="str">
        <x:v>src/components/rooms/RoomThreadControls.tsx; src/server/rooms/thread-service.ts; src/app/api/rooms/[roomId]/threads/route.ts</x:v>
      </x:c>
      <x:c r="I17" s="11" t="str">
        <x:v>Implemented</x:v>
      </x:c>
      <x:c r="J17" s="11" t="str">
        <x:v>Unit Covered</x:v>
      </x:c>
      <x:c r="K17" s="11" t="str">
        <x:v>tests/unit/thread-context.test.ts</x:v>
      </x:c>
      <x:c r="L17" s="11" t="str">
        <x:v>Click 새 대화, verify new query thread and carryover summary via API/store.</x:v>
      </x:c>
      <x:c r="M17" s="11"/>
      <x:c r="N17" s="11" t="str">
        <x:v>No Defect</x:v>
      </x:c>
      <x:c r="O17" s="11" t="str">
        <x:v>Passed</x:v>
      </x:c>
    </x:row>
    <x:row r="18">
      <x:c r="A18" s="10" t="str">
        <x:v>F017</x:v>
      </x:c>
      <x:c r="B18" s="10" t="str">
        <x:v>Threads</x:v>
      </x:c>
      <x:c r="C18" s="10" t="str">
        <x:v>Rename thread</x:v>
      </x:c>
      <x:c r="D18" s="10" t="str">
        <x:v>As a room member, I want to rename a conversation so I can identify it later.</x:v>
      </x:c>
      <x:c r="E18" s="10" t="str">
        <x:v>Room member</x:v>
      </x:c>
      <x:c r="F18" s="10" t="str">
        <x:v>Thread title edit button</x:v>
      </x:c>
      <x:c r="G18" s="10" t="str">
        <x:v>Edit mode preloads active title; empty title shows inline error; PATCH trims/saves title, updates override, refreshes, and audits.</x:v>
      </x:c>
      <x:c r="H18" s="10" t="str">
        <x:v>src/components/rooms/RoomThreadControls.tsx; src/app/api/rooms/[roomId]/threads/[threadId]/route.ts</x:v>
      </x:c>
      <x:c r="I18" s="10" t="str">
        <x:v>Implemented</x:v>
      </x:c>
      <x:c r="J18" s="44" t="str">
        <x:v>Component Covered</x:v>
      </x:c>
      <x:c r="K18" s="10" t="str">
        <x:v>tests/components/room-interactions.test.tsx</x:v>
      </x:c>
      <x:c r="L18" s="10" t="str">
        <x:v>Edit title to empty and valid values; verify select label and API payload.</x:v>
      </x:c>
      <x:c r="M18" s="10"/>
      <x:c r="N18" s="10" t="str">
        <x:v>No Defect</x:v>
      </x:c>
      <x:c r="O18" s="10" t="str">
        <x:v>Passed</x:v>
      </x:c>
    </x:row>
    <x:row r="19">
      <x:c r="A19" s="11" t="str">
        <x:v>F018</x:v>
      </x:c>
      <x:c r="B19" s="11" t="str">
        <x:v>Chat</x:v>
      </x:c>
      <x:c r="C19" s="11" t="str">
        <x:v>Message timeline scrolling</x:v>
      </x:c>
      <x:c r="D19" s="11" t="str">
        <x:v>As a reader, I want new messages to appear without losing my place when I am reviewing older messages.</x:v>
      </x:c>
      <x:c r="E19" s="11" t="str">
        <x:v>Room member</x:v>
      </x:c>
      <x:c r="F19" s="11" t="str">
        <x:v>Message timeline</x:v>
      </x:c>
      <x:c r="G19" s="11" t="str">
        <x:v>Timeline autoscrolls only when near bottom; when scrolled up, new messages trigger a floating 새 메시지 button that scrolls to bottom.</x:v>
      </x:c>
      <x:c r="H19" s="11" t="str">
        <x:v>src/components/rooms/MessageTimeline.tsx</x:v>
      </x:c>
      <x:c r="I19" s="11" t="str">
        <x:v>Implemented</x:v>
      </x:c>
      <x:c r="J19" s="44" t="str">
        <x:v>Component Covered</x:v>
      </x:c>
      <x:c r="K19" s="11" t="str">
        <x:v>tests/components/room-interactions.test.tsx</x:v>
      </x:c>
      <x:c r="L19" s="11" t="str">
        <x:v>Populate many messages, scroll up, trigger new message, verify button and scroll behavior.</x:v>
      </x:c>
      <x:c r="M19" s="11"/>
      <x:c r="N19" s="11" t="str">
        <x:v>No Defect</x:v>
      </x:c>
      <x:c r="O19" s="11" t="str">
        <x:v>Passed</x:v>
      </x:c>
    </x:row>
    <x:row r="20">
      <x:c r="A20" s="10" t="str">
        <x:v>F019</x:v>
      </x:c>
      <x:c r="B20" s="10" t="str">
        <x:v>Chat</x:v>
      </x:c>
      <x:c r="C20" s="10" t="str">
        <x:v>Human message send</x:v>
      </x:c>
      <x:c r="D20" s="10" t="str">
        <x:v>As a room member, I want to send messages quickly and recover from errors.</x:v>
      </x:c>
      <x:c r="E20" s="10" t="str">
        <x:v>Room member</x:v>
      </x:c>
      <x:c r="F20" s="10" t="str">
        <x:v>Message composer</x:v>
      </x:c>
      <x:c r="G20" s="10" t="str">
        <x:v>Enter submits, Shift+Enter adds newline, empty text and in-flight submits are disabled, an optimistic message is shown, committed server message replaces it, and failures remove optimistic state with error alert.</x:v>
      </x:c>
      <x:c r="H20" s="10" t="str">
        <x:v>src/components/rooms/MessageComposer.tsx; src/app/api/rooms/[roomId]/messages/route.ts; src/server/messages/room-message-service.ts</x:v>
      </x:c>
      <x:c r="I20" s="10" t="str">
        <x:v>Implemented</x:v>
      </x:c>
      <x:c r="J20" s="10" t="str">
        <x:v>Browser Covered</x:v>
      </x:c>
      <x:c r="K20" s="10" t="str">
        <x:v>post-fix browser retest; API service covered by related message/thread tests</x:v>
      </x:c>
      <x:c r="L20" s="10" t="str">
        <x:v>Send valid, empty, newline, and failing messages; verify UI state and API.</x:v>
      </x:c>
      <x:c r="M20" s="10"/>
      <x:c r="N20" s="10" t="str">
        <x:v>No Defect</x:v>
      </x:c>
      <x:c r="O20" s="40" t="str">
        <x:v>Passed</x:v>
      </x:c>
    </x:row>
    <x:row r="21">
      <x:c r="A21" s="11" t="str">
        <x:v>F020</x:v>
      </x:c>
      <x:c r="B21" s="11" t="str">
        <x:v>Chat</x:v>
      </x:c>
      <x:c r="C21" s="11" t="str">
        <x:v>Message polling and merge</x:v>
      </x:c>
      <x:c r="D21" s="11" t="str">
        <x:v>As a room member, I want other people's and bot messages to appear without refreshing.</x:v>
      </x:c>
      <x:c r="E21" s="11" t="str">
        <x:v>Room member</x:v>
      </x:c>
      <x:c r="F21" s="11" t="str">
        <x:v>Room chat</x:v>
      </x:c>
      <x:c r="G21" s="11" t="str">
        <x:v>Client polls current thread every 4 seconds when visible; no-store GET returns thread messages; merge keeps optimistic and pending messages while applying server updates.</x:v>
      </x:c>
      <x:c r="H21" s="11" t="str">
        <x:v>src/components/rooms/RoomChat.tsx; src/lib/merge-messages.ts</x:v>
      </x:c>
      <x:c r="I21" s="11" t="str">
        <x:v>Implemented</x:v>
      </x:c>
      <x:c r="J21" s="11" t="str">
        <x:v>Unit Covered</x:v>
      </x:c>
      <x:c r="K21" s="11" t="str">
        <x:v>tests/unit/merge-messages.test.ts</x:v>
      </x:c>
      <x:c r="L21" s="11" t="str">
        <x:v>Stub polling response with new and duplicate messages; verify no duplicate or lost optimistic entries.</x:v>
      </x:c>
      <x:c r="M21" s="11"/>
      <x:c r="N21" s="11" t="str">
        <x:v>No Defect</x:v>
      </x:c>
      <x:c r="O21" s="11" t="str">
        <x:v>Passed</x:v>
      </x:c>
    </x:row>
    <x:row r="22">
      <x:c r="A22" s="10" t="str">
        <x:v>F021</x:v>
      </x:c>
      <x:c r="B22" s="10" t="str">
        <x:v>Chat/Bots</x:v>
      </x:c>
      <x:c r="C22" s="10" t="str">
        <x:v>Room resident bot toggle</x:v>
      </x:c>
      <x:c r="D22" s="10" t="str">
        <x:v>As a work-room member, I want to decide whether the resident bot should respond to my message.</x:v>
      </x:c>
      <x:c r="E22" s="10" t="str">
        <x:v>Room member</x:v>
      </x:c>
      <x:c r="F22" s="10" t="str">
        <x:v>Work-room composer</x:v>
      </x:c>
      <x:c r="G22" s="10" t="str">
        <x:v>Resident bot toggle is enabled by default in non-meeting rooms with an agent; disabling sends only human message; enabling starts a room agent run after the message is committed.</x:v>
      </x:c>
      <x:c r="H22" s="10" t="str">
        <x:v>src/components/rooms/MessageComposer.tsx; src/server/agents/run-agent.ts</x:v>
      </x:c>
      <x:c r="I22" s="10" t="str">
        <x:v>Implemented</x:v>
      </x:c>
      <x:c r="J22" s="41" t="str">
        <x:v>Component + Unit Covered</x:v>
      </x:c>
      <x:c r="K22" s="10" t="str">
        <x:v>tests/components/room-interactions.test.tsx; tests/unit/development-agent.test.ts</x:v>
      </x:c>
      <x:c r="L22" s="10" t="str">
        <x:v>In a work room, send with toggle on/off; verify agent-runs payloads.</x:v>
      </x:c>
      <x:c r="M22" s="10"/>
      <x:c r="N22" s="10" t="str">
        <x:v>No Defect</x:v>
      </x:c>
      <x:c r="O22" s="10" t="str">
        <x:v>Passed</x:v>
      </x:c>
    </x:row>
    <x:row r="23">
      <x:c r="A23" s="11" t="str">
        <x:v>F022</x:v>
      </x:c>
      <x:c r="B23" s="11" t="str">
        <x:v>Chat/Bots</x:v>
      </x:c>
      <x:c r="C23" s="11" t="str">
        <x:v>Development bot guest in work rooms</x:v>
      </x:c>
      <x:c r="D23" s="11" t="str">
        <x:v>As a work-room member, I want to call the development bot as an extra guest so platform improvement ideas are captured.</x:v>
      </x:c>
      <x:c r="E23" s="11" t="str">
        <x:v>Room member</x:v>
      </x:c>
      <x:c r="F23" s="11" t="str">
        <x:v>Work-room composer</x:v>
      </x:c>
      <x:c r="G23" s="11" t="str">
        <x:v>Non-meeting rooms include development bot as guest when it is not the resident agent; selecting it calls POST /agent-runs with mode room and development_request intent.</x:v>
      </x:c>
      <x:c r="H23" s="11" t="str">
        <x:v>src/server/rooms/get-room-view.ts; src/components/rooms/MessageComposer.tsx; src/lib/agents/development-agent.ts</x:v>
      </x:c>
      <x:c r="I23" s="11" t="str">
        <x:v>Implemented</x:v>
      </x:c>
      <x:c r="J23" s="11" t="str">
        <x:v>Unit Covered</x:v>
      </x:c>
      <x:c r="K23" s="11" t="str">
        <x:v>tests/unit/development-agent.test.ts</x:v>
      </x:c>
      <x:c r="L23" s="11" t="str">
        <x:v>Open non-development room, select development bot, send message, verify run payload and label.</x:v>
      </x:c>
      <x:c r="M23" s="11"/>
      <x:c r="N23" s="11" t="str">
        <x:v>No Defect</x:v>
      </x:c>
      <x:c r="O23" s="11" t="str">
        <x:v>Passed</x:v>
      </x:c>
    </x:row>
    <x:row r="24">
      <x:c r="A24" s="10" t="str">
        <x:v>F023</x:v>
      </x:c>
      <x:c r="B24" s="10" t="str">
        <x:v>Chat/Bots</x:v>
      </x:c>
      <x:c r="C24" s="10" t="str">
        <x:v>Meeting-room guest bot calls</x:v>
      </x:c>
      <x:c r="D24" s="10" t="str">
        <x:v>As a meeting participant, I want to call domain bots into the meeting room for short briefings.</x:v>
      </x:c>
      <x:c r="E24" s="10" t="str">
        <x:v>Meeting participant</x:v>
      </x:c>
      <x:c r="F24" s="10" t="str">
        <x:v>Meeting-room composer</x:v>
      </x:c>
      <x:c r="G24" s="10" t="str">
        <x:v>Meeting composer shows coordinator bot plus writable-room bots and development bot; selected guests run with mode meeting_guest, guestSourceRoomId, and development_request intent for development bot.</x:v>
      </x:c>
      <x:c r="H24" s="10" t="str">
        <x:v>src/server/rooms/get-room-view.ts; src/components/rooms/MessageComposer.tsx</x:v>
      </x:c>
      <x:c r="I24" s="10" t="str">
        <x:v>Implemented</x:v>
      </x:c>
      <x:c r="J24" s="44" t="str">
        <x:v>Unit Covered</x:v>
      </x:c>
      <x:c r="K24" s="10" t="str">
        <x:v>tests/unit/development-agent.test.ts; tests/unit/coordinator-briefing.test.ts</x:v>
      </x:c>
      <x:c r="L24" s="10" t="str">
        <x:v>Select one or more meeting guest bots, send message, verify pending messages and payloads.</x:v>
      </x:c>
      <x:c r="M24" s="10"/>
      <x:c r="N24" s="10" t="str">
        <x:v>No Defect</x:v>
      </x:c>
      <x:c r="O24" s="10" t="str">
        <x:v>Passed</x:v>
      </x:c>
    </x:row>
    <x:row r="25">
      <x:c r="A25" s="11" t="str">
        <x:v>F024</x:v>
      </x:c>
      <x:c r="B25" s="11" t="str">
        <x:v>Chat/Bots</x:v>
      </x:c>
      <x:c r="C25" s="11" t="str">
        <x:v>Agent-run pending, completion, failure, and cancellation</x:v>
      </x:c>
      <x:c r="D25" s="11" t="str">
        <x:v>As a user who calls a bot, I want visible progress and the ability to stop a long run.</x:v>
      </x:c>
      <x:c r="E25" s="11" t="str">
        <x:v>Room member</x:v>
      </x:c>
      <x:c r="F25" s="11" t="str">
        <x:v>Pending bot message</x:v>
      </x:c>
      <x:c r="G25" s="11" t="str">
        <x:v>Queued run creates pending message with activity; client polls run detail up to 60 attempts; output replaces pending message; failed/cancelled runs become system messages; cancel button sends DELETE and shows retryable error on failure.</x:v>
      </x:c>
      <x:c r="H25" s="11" t="str">
        <x:v>src/components/rooms/RoomChat.tsx; src/components/rooms/MessageBubble.tsx; src/app/api/rooms/[roomId]/agent-runs/[runId]/route.ts; src/server/agents/run-agent.ts</x:v>
      </x:c>
      <x:c r="I25" s="11" t="str">
        <x:v>Implemented</x:v>
      </x:c>
      <x:c r="J25" s="11" t="str">
        <x:v>Unit Covered</x:v>
      </x:c>
      <x:c r="K25" s="11" t="str">
        <x:v>tests/unit/agent-run-detail.test.ts; tests/unit/agent-run-concurrency.test.ts</x:v>
      </x:c>
      <x:c r="L25" s="11" t="str">
        <x:v>Stub run states queued/running/completed/failed/cancelled and cancel failure/success.</x:v>
      </x:c>
      <x:c r="M25" s="11"/>
      <x:c r="N25" s="11" t="str">
        <x:v>No Defect</x:v>
      </x:c>
      <x:c r="O25" s="11" t="str">
        <x:v>Passed</x:v>
      </x:c>
    </x:row>
    <x:row r="26">
      <x:c r="A26" s="10" t="str">
        <x:v>F025</x:v>
      </x:c>
      <x:c r="B26" s="10" t="str">
        <x:v>Chat</x:v>
      </x:c>
      <x:c r="C26" s="10" t="str">
        <x:v>Message rendering and copy</x:v>
      </x:c>
      <x:c r="D26" s="10" t="str">
        <x:v>As a reader, I want messages to clearly show speaker, time, type, and copy controls.</x:v>
      </x:c>
      <x:c r="E26" s="10" t="str">
        <x:v>Room member</x:v>
      </x:c>
      <x:c r="F26" s="10" t="str">
        <x:v>Message timeline</x:v>
      </x:c>
      <x:c r="G26" s="10" t="str">
        <x:v>Own, other human, agent, guest-agent, system, video-meeting, shared-item, and meeting-import messages render with appropriate visual treatment; copy buttons are present.</x:v>
      </x:c>
      <x:c r="H26" s="10" t="str">
        <x:v>src/components/rooms/MessageBubble.tsx; src/components/rooms/MessageCopyButton.tsx</x:v>
      </x:c>
      <x:c r="I26" s="10" t="str">
        <x:v>Implemented</x:v>
      </x:c>
      <x:c r="J26" s="10" t="str">
        <x:v>Component Covered</x:v>
      </x:c>
      <x:c r="K26" s="10" t="str">
        <x:v>tests/components/message-bubble.test.tsx</x:v>
      </x:c>
      <x:c r="L26" s="10" t="str">
        <x:v>Render all message types; verify sender labels, copy behavior, and shared/import embedded cards.</x:v>
      </x:c>
      <x:c r="M26" s="10"/>
      <x:c r="N26" s="10" t="str">
        <x:v>No Defect</x:v>
      </x:c>
      <x:c r="O26" s="10" t="str">
        <x:v>Passed</x:v>
      </x:c>
    </x:row>
    <x:row r="27">
      <x:c r="A27" s="11" t="str">
        <x:v>F026</x:v>
      </x:c>
      <x:c r="B27" s="11" t="str">
        <x:v>Chat/Files</x:v>
      </x:c>
      <x:c r="C27" s="11" t="str">
        <x:v>Generated files in agent messages</x:v>
      </x:c>
      <x:c r="D27" s="11" t="str">
        <x:v>As a user, I want files generated by a bot to be downloadable from the message that produced them.</x:v>
      </x:c>
      <x:c r="E27" s="11" t="str">
        <x:v>Room member</x:v>
      </x:c>
      <x:c r="F27" s="11" t="str">
        <x:v>Agent message bubble</x:v>
      </x:c>
      <x:c r="G27" s="11" t="str">
        <x:v>Metadata generatedFiles renders file name, size, and download button; download uses signed URL route scoped to the message room.</x:v>
      </x:c>
      <x:c r="H27" s="11" t="str">
        <x:v>src/components/rooms/MessageBubble.tsx; src/components/files/FileDownloadButton.tsx; src/server/files/file-service.ts</x:v>
      </x:c>
      <x:c r="I27" s="11" t="str">
        <x:v>Implemented</x:v>
      </x:c>
      <x:c r="J27" s="44" t="str">
        <x:v>Component Covered</x:v>
      </x:c>
      <x:c r="K27" s="11" t="str">
        <x:v>tests/components/message-bubble.test.tsx</x:v>
      </x:c>
      <x:c r="L27" s="11" t="str">
        <x:v>Seed an agent message with generatedFiles metadata and verify download route call.</x:v>
      </x:c>
      <x:c r="M27" s="11"/>
      <x:c r="N27" s="11" t="str">
        <x:v>No Defect</x:v>
      </x:c>
      <x:c r="O27" s="11" t="str">
        <x:v>Passed</x:v>
      </x:c>
    </x:row>
    <x:row r="28">
      <x:c r="A28" s="10" t="str">
        <x:v>F027</x:v>
      </x:c>
      <x:c r="B28" s="10" t="str">
        <x:v>Agents</x:v>
      </x:c>
      <x:c r="C28" s="10" t="str">
        <x:v>Agent persona editor visibility</x:v>
      </x:c>
      <x:c r="D28" s="10" t="str">
        <x:v>As a room admin, I want to expand and edit the bot persona; as a non-admin, I should see it read-only.</x:v>
      </x:c>
      <x:c r="E28" s="10" t="str">
        <x:v>Room admin or member</x:v>
      </x:c>
      <x:c r="F28" s="10" t="str">
        <x:v>Room right panel</x:v>
      </x:c>
      <x:c r="G28" s="10" t="str">
        <x:v>Agent rooms show a collapsed persona editor; canEdit is true only for admin membership; text areas and save/publish are disabled for non-admins.</x:v>
      </x:c>
      <x:c r="H28" s="10" t="str">
        <x:v>src/components/agents/AgentPersonaEditor.tsx; src/components/rooms/RoomRightPanel.tsx</x:v>
      </x:c>
      <x:c r="I28" s="10" t="str">
        <x:v>Implemented</x:v>
      </x:c>
      <x:c r="J28" s="10" t="str">
        <x:v>Unit Covered</x:v>
      </x:c>
      <x:c r="K28" s="10" t="str">
        <x:v>tests/unit/agent-persona-service.test.ts</x:v>
      </x:c>
      <x:c r="L28" s="10" t="str">
        <x:v>Open as admin and member; verify disabled states and expand/collapse.</x:v>
      </x:c>
      <x:c r="M28" s="10"/>
      <x:c r="N28" s="10" t="str">
        <x:v>No Defect</x:v>
      </x:c>
      <x:c r="O28" s="10" t="str">
        <x:v>Passed</x:v>
      </x:c>
    </x:row>
    <x:row r="29">
      <x:c r="A29" s="11" t="str">
        <x:v>F028</x:v>
      </x:c>
      <x:c r="B29" s="11" t="str">
        <x:v>Agents</x:v>
      </x:c>
      <x:c r="C29" s="11" t="str">
        <x:v>Save persona draft</x:v>
      </x:c>
      <x:c r="D29" s="11" t="str">
        <x:v>As a room admin, I want to save persona drafts without publishing to the live agent.</x:v>
      </x:c>
      <x:c r="E29" s="11" t="str">
        <x:v>Room admin</x:v>
      </x:c>
      <x:c r="F29" s="11" t="str">
        <x:v>Persona editor</x:v>
      </x:c>
      <x:c r="G29" s="11" t="str">
        <x:v>PATCH validates/normalizes persona fields with max lengths, saves draft, updates draft timestamp, refreshes, and shows success or error.</x:v>
      </x:c>
      <x:c r="H29" s="11" t="str">
        <x:v>src/components/agents/AgentPersonaEditor.tsx; src/app/api/rooms/[roomId]/agent-persona/route.ts; src/server/agents/agent-persona-service.ts</x:v>
      </x:c>
      <x:c r="I29" s="11" t="str">
        <x:v>Implemented</x:v>
      </x:c>
      <x:c r="J29" s="11" t="str">
        <x:v>Unit Covered</x:v>
      </x:c>
      <x:c r="K29" s="11" t="str">
        <x:v>tests/unit/agent-persona-service.test.ts</x:v>
      </x:c>
      <x:c r="L29" s="11" t="str">
        <x:v>Save normal, empty, and overlong fields; verify normalization and notice.</x:v>
      </x:c>
      <x:c r="M29" s="11"/>
      <x:c r="N29" s="11" t="str">
        <x:v>No Defect</x:v>
      </x:c>
      <x:c r="O29" s="11" t="str">
        <x:v>Passed</x:v>
      </x:c>
    </x:row>
    <x:row r="30">
      <x:c r="A30" s="10" t="str">
        <x:v>F029</x:v>
      </x:c>
      <x:c r="B30" s="10" t="str">
        <x:v>Agents</x:v>
      </x:c>
      <x:c r="C30" s="10" t="str">
        <x:v>Publish persona</x:v>
      </x:c>
      <x:c r="D30" s="10" t="str">
        <x:v>As a room admin, I want published persona changes to update the app and Claude Managed Agent when configured.</x:v>
      </x:c>
      <x:c r="E30" s="10" t="str">
        <x:v>Room admin</x:v>
      </x:c>
      <x:c r="F30" s="10" t="str">
        <x:v>Persona editor</x:v>
      </x:c>
      <x:c r="G30" s="10" t="str">
        <x:v>POST publishes draft/local persona, attempts Anthropic update when configured, stores published timestamp/version, and reports local-only or Anthropic-updated status.</x:v>
      </x:c>
      <x:c r="H30" s="10" t="str">
        <x:v>src/components/agents/AgentPersonaEditor.tsx; src/app/api/rooms/[roomId]/agent-persona/publish/route.ts; src/server/agents/agent-persona-service.ts</x:v>
      </x:c>
      <x:c r="I30" s="10" t="str">
        <x:v>Implemented</x:v>
      </x:c>
      <x:c r="J30" s="10" t="str">
        <x:v>Unit Covered</x:v>
      </x:c>
      <x:c r="K30" s="10" t="str">
        <x:v>tests/unit/agent-persona-service.test.ts</x:v>
      </x:c>
      <x:c r="L30" s="10" t="str">
        <x:v>Publish with real agents disabled and enabled-missing config; verify notice and stored state.</x:v>
      </x:c>
      <x:c r="M30" s="10"/>
      <x:c r="N30" s="10" t="str">
        <x:v>No Defect</x:v>
      </x:c>
      <x:c r="O30" s="10" t="str">
        <x:v>Passed</x:v>
      </x:c>
    </x:row>
    <x:row r="31">
      <x:c r="A31" s="11" t="str">
        <x:v>F030</x:v>
      </x:c>
      <x:c r="B31" s="11" t="str">
        <x:v>Agents/Ops</x:v>
      </x:c>
      <x:c r="C31" s="11" t="str">
        <x:v>Agent-run concurrency and stuck-run sweep</x:v>
      </x:c>
      <x:c r="D31" s="11" t="str">
        <x:v>As an operator, I want bot runs constrained and stale runs cleaned up so one room cannot pile up infinite work.</x:v>
      </x:c>
      <x:c r="E31" s="11" t="str">
        <x:v>Operator</x:v>
      </x:c>
      <x:c r="F31" s="11" t="str">
        <x:v>Agent run service; /api/agent-runs/sweep</x:v>
      </x:c>
      <x:c r="G31" s="11" t="str">
        <x:v>StartAgentRun enforces active run limits; cron sweep requires Bearer CRON_SECRET and cancels stuck queued/running/idle/requires_action runs.</x:v>
      </x:c>
      <x:c r="H31" s="11" t="str">
        <x:v>src/server/agents/run-agent.ts; src/app/api/agent-runs/sweep/route.ts</x:v>
      </x:c>
      <x:c r="I31" s="11" t="str">
        <x:v>Implemented</x:v>
      </x:c>
      <x:c r="J31" s="11" t="str">
        <x:v>Unit Covered</x:v>
      </x:c>
      <x:c r="K31" s="11" t="str">
        <x:v>tests/unit/agent-run-concurrency.test.ts; tests/unit/agent-run-sweep.test.ts</x:v>
      </x:c>
      <x:c r="L31" s="11" t="str">
        <x:v>Run route with missing, wrong, and correct CRON_SECRET; verify sweep result.</x:v>
      </x:c>
      <x:c r="M31" s="11"/>
      <x:c r="N31" s="11" t="str">
        <x:v>No Defect</x:v>
      </x:c>
      <x:c r="O31" s="11" t="str">
        <x:v>Passed</x:v>
      </x:c>
    </x:row>
    <x:row r="32">
      <x:c r="A32" s="10" t="str">
        <x:v>F031</x:v>
      </x:c>
      <x:c r="B32" s="10" t="str">
        <x:v>Files</x:v>
      </x:c>
      <x:c r="C32" s="10" t="str">
        <x:v>File list and upload</x:v>
      </x:c>
      <x:c r="D32" s="10" t="str">
        <x:v>As a room member, I want to upload and see room files so work artifacts stay with the room.</x:v>
      </x:c>
      <x:c r="E32" s="10" t="str">
        <x:v>Room member</x:v>
      </x:c>
      <x:c r="F32" s="10" t="str">
        <x:v>Room right panel file card</x:v>
      </x:c>
      <x:c r="G32" s="10" t="str">
        <x:v>File list shows count, file name, version, size, access level, empty state, upload button, and upload result message; POST uses multipart file and roomId.</x:v>
      </x:c>
      <x:c r="H32" s="10" t="str">
        <x:v>src/components/files/FileList.tsx; src/components/files/FileUploadForm.tsx; src/app/api/files/route.ts; src/server/files/file-service.ts</x:v>
      </x:c>
      <x:c r="I32" s="10" t="str">
        <x:v>Implemented</x:v>
      </x:c>
      <x:c r="J32" s="10" t="str">
        <x:v>Unit Covered</x:v>
      </x:c>
      <x:c r="K32" s="10" t="str">
        <x:v>tests/unit/file-upload-limits.test.ts</x:v>
      </x:c>
      <x:c r="L32" s="10" t="str">
        <x:v>Upload allowed and disallowed files; verify list refresh and error messages.</x:v>
      </x:c>
      <x:c r="M32" s="10"/>
      <x:c r="N32" s="10" t="str">
        <x:v>No Defect</x:v>
      </x:c>
      <x:c r="O32" s="10" t="str">
        <x:v>Passed</x:v>
      </x:c>
    </x:row>
    <x:row r="33">
      <x:c r="A33" s="11" t="str">
        <x:v>F032</x:v>
      </x:c>
      <x:c r="B33" s="11" t="str">
        <x:v>Files</x:v>
      </x:c>
      <x:c r="C33" s="11" t="str">
        <x:v>Signed file download</x:v>
      </x:c>
      <x:c r="D33" s="11" t="str">
        <x:v>As a room member, I want to download files I can access without exposing storage internals.</x:v>
      </x:c>
      <x:c r="E33" s="11" t="str">
        <x:v>Room member</x:v>
      </x:c>
      <x:c r="F33" s="11" t="str">
        <x:v>File download button</x:v>
      </x:c>
      <x:c r="G33" s="11" t="str">
        <x:v>Download route verifies user/room access and returns signed URL plus file metadata; client creates a temporary anchor and shows inline error on failure.</x:v>
      </x:c>
      <x:c r="H33" s="11" t="str">
        <x:v>src/components/files/FileDownloadButton.tsx; src/app/api/files/[id]/download/route.ts; src/server/files/file-service.ts</x:v>
      </x:c>
      <x:c r="I33" s="11" t="str">
        <x:v>Implemented</x:v>
      </x:c>
      <x:c r="J33" s="44" t="str">
        <x:v>Unit + Component Covered</x:v>
      </x:c>
      <x:c r="K33" s="11" t="str">
        <x:v>tests/unit/file-upload-limits.test.ts; tests/components/message-bubble.test.tsx</x:v>
      </x:c>
      <x:c r="L33" s="11" t="str">
        <x:v>Click download for accessible and inaccessible files; verify signedUrl handling.</x:v>
      </x:c>
      <x:c r="M33" s="11"/>
      <x:c r="N33" s="11" t="str">
        <x:v>No Defect</x:v>
      </x:c>
      <x:c r="O33" s="11" t="str">
        <x:v>Passed</x:v>
      </x:c>
    </x:row>
    <x:row r="34">
      <x:c r="A34" s="10" t="str">
        <x:v>F033</x:v>
      </x:c>
      <x:c r="B34" s="10" t="str">
        <x:v>Files</x:v>
      </x:c>
      <x:c r="C34" s="10" t="str">
        <x:v>Delete room file access</x:v>
      </x:c>
      <x:c r="D34" s="10" t="str">
        <x:v>As a room member, I want to remove a file from the current room without breaking other rooms' shared access.</x:v>
      </x:c>
      <x:c r="E34" s="10" t="str">
        <x:v>Room member</x:v>
      </x:c>
      <x:c r="F34" s="10" t="str">
        <x:v>File delete button</x:v>
      </x:c>
      <x:c r="G34" s="10" t="str">
        <x:v>Confirmation dialog calls DELETE /api/files; service removes this room's access and keeps other shared room access; UI refreshes and shows errors.</x:v>
      </x:c>
      <x:c r="H34" s="10" t="str">
        <x:v>src/components/files/FileDeleteButton.tsx; src/app/api/files/route.ts; src/server/files/file-service.ts</x:v>
      </x:c>
      <x:c r="I34" s="10" t="str">
        <x:v>Implemented</x:v>
      </x:c>
      <x:c r="J34" s="10" t="str">
        <x:v>Unit Covered</x:v>
      </x:c>
      <x:c r="K34" s="10" t="str">
        <x:v>tests/unit/share-import-service.test.ts</x:v>
      </x:c>
      <x:c r="L34" s="10" t="str">
        <x:v>Delete a file shared to another room; verify current room access removed and target room access remains.</x:v>
      </x:c>
      <x:c r="M34" s="10"/>
      <x:c r="N34" s="10" t="str">
        <x:v>No Defect</x:v>
      </x:c>
      <x:c r="O34" s="10" t="str">
        <x:v>Passed</x:v>
      </x:c>
    </x:row>
    <x:row r="35">
      <x:c r="A35" s="11" t="str">
        <x:v>F034</x:v>
      </x:c>
      <x:c r="B35" s="11" t="str">
        <x:v>Files/API</x:v>
      </x:c>
      <x:c r="C35" s="11" t="str">
        <x:v>Create file version</x:v>
      </x:c>
      <x:c r="D35" s="11" t="str">
        <x:v>As an integration or agent, I want to record a new version so file history is preserved.</x:v>
      </x:c>
      <x:c r="E35" s="11" t="str">
        <x:v>Integration or agent</x:v>
      </x:c>
      <x:c r="F35" s="11" t="str">
        <x:v>POST /api/files/{id}/versions</x:v>
      </x:c>
      <x:c r="G35" s="11" t="str">
        <x:v>Route validates roomId/changeSummary and creates a new version for an accessible room file.</x:v>
      </x:c>
      <x:c r="H35" s="11" t="str">
        <x:v>src/app/api/files/[id]/versions/route.ts; src/server/files/file-service.ts</x:v>
      </x:c>
      <x:c r="I35" s="11" t="str">
        <x:v>Implemented</x:v>
      </x:c>
      <x:c r="J35" s="44" t="str">
        <x:v>Unit Covered</x:v>
      </x:c>
      <x:c r="K35" s="11" t="str">
        <x:v>tests/unit/file-upload-limits.test.ts</x:v>
      </x:c>
      <x:c r="L35" s="11" t="str">
        <x:v>Call version route for accessible/inaccessible file and verify versionNo/history.</x:v>
      </x:c>
      <x:c r="M35" s="11"/>
      <x:c r="N35" s="11" t="str">
        <x:v>No Defect</x:v>
      </x:c>
      <x:c r="O35" s="11" t="str">
        <x:v>Passed</x:v>
      </x:c>
    </x:row>
    <x:row r="36">
      <x:c r="A36" s="10" t="str">
        <x:v>F035</x:v>
      </x:c>
      <x:c r="B36" s="10" t="str">
        <x:v>Files/Sharing</x:v>
      </x:c>
      <x:c r="C36" s="10" t="str">
        <x:v>File share target discovery</x:v>
      </x:c>
      <x:c r="D36" s="10" t="str">
        <x:v>As a room member, I want only writable target rooms to appear when sharing files.</x:v>
      </x:c>
      <x:c r="E36" s="10" t="str">
        <x:v>Room member</x:v>
      </x:c>
      <x:c r="F36" s="10" t="str">
        <x:v>Share selected files dialog</x:v>
      </x:c>
      <x:c r="G36" s="10" t="str">
        <x:v>GET /api/files/share-targets excludes source room and requires canWriteRoom for targets; dialog lazily loads targets and shows empty/error states.</x:v>
      </x:c>
      <x:c r="H36" s="10" t="str">
        <x:v>src/components/files/FileList.tsx; src/app/api/files/share-targets/route.ts; src/server/collaboration/share-import-service.ts</x:v>
      </x:c>
      <x:c r="I36" s="10" t="str">
        <x:v>Implemented</x:v>
      </x:c>
      <x:c r="J36" s="10" t="str">
        <x:v>Component Covered</x:v>
      </x:c>
      <x:c r="K36" s="10" t="str">
        <x:v>tests/components/cards.test.tsx</x:v>
      </x:c>
      <x:c r="L36" s="10" t="str">
        <x:v>Open dialog with mixed memberships; verify target list.</x:v>
      </x:c>
      <x:c r="M36" s="10"/>
      <x:c r="N36" s="10" t="str">
        <x:v>No Defect</x:v>
      </x:c>
      <x:c r="O36" s="10" t="str">
        <x:v>Passed</x:v>
      </x:c>
    </x:row>
    <x:row r="37">
      <x:c r="A37" s="11" t="str">
        <x:v>F036</x:v>
      </x:c>
      <x:c r="B37" s="11" t="str">
        <x:v>Files/Sharing</x:v>
      </x:c>
      <x:c r="C37" s="11" t="str">
        <x:v>Bulk share selected files to rooms</x:v>
      </x:c>
      <x:c r="D37" s="11" t="str">
        <x:v>As a room member, I want to share selected files to other rooms with a visible card in each target.</x:v>
      </x:c>
      <x:c r="E37" s="11" t="str">
        <x:v>Room member</x:v>
      </x:c>
      <x:c r="F37" s="11" t="str">
        <x:v>Share selected files dialog</x:v>
      </x:c>
      <x:c r="G37" s="11" t="str">
        <x:v>Selected files and target rooms are required; POST creates shared_items, grants target file access, posts corresponding shared/import context where applicable, audits, clears selection, refreshes, and closes dialog.</x:v>
      </x:c>
      <x:c r="H37" s="11" t="str">
        <x:v>src/components/files/FileList.tsx; src/app/api/files/share/route.ts; src/server/collaboration/share-import-service.ts</x:v>
      </x:c>
      <x:c r="I37" s="11" t="str">
        <x:v>Implemented</x:v>
      </x:c>
      <x:c r="J37" s="11" t="str">
        <x:v>Component/Unit Covered</x:v>
      </x:c>
      <x:c r="K37" s="11" t="str">
        <x:v>tests/components/cards.test.tsx; tests/unit/share-import-service.test.ts</x:v>
      </x:c>
      <x:c r="L37" s="11" t="str">
        <x:v>Select one file and one target; verify shared item, target file access, and UI refresh.</x:v>
      </x:c>
      <x:c r="M37" s="11"/>
      <x:c r="N37" s="11" t="str">
        <x:v>No Defect</x:v>
      </x:c>
      <x:c r="O37" s="11" t="str">
        <x:v>Passed</x:v>
      </x:c>
    </x:row>
    <x:row r="38">
      <x:c r="A38" s="10" t="str">
        <x:v>F037</x:v>
      </x:c>
      <x:c r="B38" s="10" t="str">
        <x:v>Sharing</x:v>
      </x:c>
      <x:c r="C38" s="10" t="str">
        <x:v>Visible shared-items list isolation</x:v>
      </x:c>
      <x:c r="D38" s="10" t="str">
        <x:v>As a user, I should only see shared items from rooms I am allowed to access.</x:v>
      </x:c>
      <x:c r="E38" s="10" t="str">
        <x:v>Room member</x:v>
      </x:c>
      <x:c r="F38" s="10" t="str">
        <x:v>Room right panel; /api/shared-items</x:v>
      </x:c>
      <x:c r="G38" s="10" t="str">
        <x:v>List route and service filter shared items by membership and optional roomId; missing membership returns forbidden.</x:v>
      </x:c>
      <x:c r="H38" s="10" t="str">
        <x:v>src/app/api/shared-items/route.ts; src/server/collaboration/share-import-service.ts</x:v>
      </x:c>
      <x:c r="I38" s="10" t="str">
        <x:v>Implemented</x:v>
      </x:c>
      <x:c r="J38" s="10" t="str">
        <x:v>Unit Covered</x:v>
      </x:c>
      <x:c r="K38" s="10" t="str">
        <x:v>tests/unit/list-route-authorization.test.ts</x:v>
      </x:c>
      <x:c r="L38" s="10" t="str">
        <x:v>Query with no room and specific accessible/inaccessible room.</x:v>
      </x:c>
      <x:c r="M38" s="10"/>
      <x:c r="N38" s="10" t="str">
        <x:v>No Defect</x:v>
      </x:c>
      <x:c r="O38" s="10" t="str">
        <x:v>Passed</x:v>
      </x:c>
    </x:row>
    <x:row r="39">
      <x:c r="A39" s="11" t="str">
        <x:v>F038</x:v>
      </x:c>
      <x:c r="B39" s="11" t="str">
        <x:v>Sharing</x:v>
      </x:c>
      <x:c r="C39" s="11" t="str">
        <x:v>Open shared original locally</x:v>
      </x:c>
      <x:c r="D39" s="11" t="str">
        <x:v>As a user reviewing a shared file, I want to download and open the original file in a chosen local folder.</x:v>
      </x:c>
      <x:c r="E39" s="11" t="str">
        <x:v>Room member</x:v>
      </x:c>
      <x:c r="F39" s="11" t="str">
        <x:v>Shared item card</x:v>
      </x:c>
      <x:c r="G39" s="11" t="str">
        <x:v>Dialog accepts download directory, POST downloads accessible source file to local folder and opens it with default app; result path or error is shown.</x:v>
      </x:c>
      <x:c r="H39" s="11" t="str">
        <x:v>src/components/meeting/SharedItemCard.tsx; src/app/api/shared-items/[id]/open-original/route.ts; src/server/collaboration/share-import-service.ts</x:v>
      </x:c>
      <x:c r="I39" s="11" t="str">
        <x:v>Implemented</x:v>
      </x:c>
      <x:c r="J39" s="44" t="str">
        <x:v>Component Covered</x:v>
      </x:c>
      <x:c r="K39" s="11" t="str">
        <x:v>tests/components/cards.test.tsx</x:v>
      </x:c>
      <x:c r="L39" s="11" t="str">
        <x:v>Open original for file-backed and non-file shared items; verify disabled state and result path.</x:v>
      </x:c>
      <x:c r="M39" s="11"/>
      <x:c r="N39" s="11" t="str">
        <x:v>No Defect</x:v>
      </x:c>
      <x:c r="O39" s="11" t="str">
        <x:v>Passed</x:v>
      </x:c>
    </x:row>
    <x:row r="40">
      <x:c r="A40" s="10" t="str">
        <x:v>F039</x:v>
      </x:c>
      <x:c r="B40" s="10" t="str">
        <x:v>Sharing</x:v>
      </x:c>
      <x:c r="C40" s="10" t="str">
        <x:v>Delete shared item</x:v>
      </x:c>
      <x:c r="D40" s="10" t="str">
        <x:v>As a room member, I want to remove a shared card without deleting the original file.</x:v>
      </x:c>
      <x:c r="E40" s="10" t="str">
        <x:v>Room member</x:v>
      </x:c>
      <x:c r="F40" s="10" t="str">
        <x:v>Shared item card</x:v>
      </x:c>
      <x:c r="G40" s="10" t="str">
        <x:v>Confirmation DELETE removes shared item visibility and leaves source file intact; error is shown on failure.</x:v>
      </x:c>
      <x:c r="H40" s="10" t="str">
        <x:v>src/components/meeting/SharedItemCard.tsx; src/app/api/shared-items/[id]/route.ts; src/server/collaboration/share-import-service.ts</x:v>
      </x:c>
      <x:c r="I40" s="10" t="str">
        <x:v>Implemented</x:v>
      </x:c>
      <x:c r="J40" s="10" t="str">
        <x:v>Component Covered</x:v>
      </x:c>
      <x:c r="K40" s="10" t="str">
        <x:v>tests/components/cards.test.tsx</x:v>
      </x:c>
      <x:c r="L40" s="10" t="str">
        <x:v>Delete shared item and verify original file remains.</x:v>
      </x:c>
      <x:c r="M40" s="10"/>
      <x:c r="N40" s="10" t="str">
        <x:v>No Defect</x:v>
      </x:c>
      <x:c r="O40" s="10" t="str">
        <x:v>Passed</x:v>
      </x:c>
    </x:row>
    <x:row r="41">
      <x:c r="A41" s="11" t="str">
        <x:v>F040</x:v>
      </x:c>
      <x:c r="B41" s="11" t="str">
        <x:v>Sharing/Imports</x:v>
      </x:c>
      <x:c r="C41" s="11" t="str">
        <x:v>Import meeting shared item to work rooms</x:v>
      </x:c>
      <x:c r="D41" s="11" t="str">
        <x:v>As a meeting participant, I want to bring a meeting shared item into selected work rooms.</x:v>
      </x:c>
      <x:c r="E41" s="11" t="str">
        <x:v>Meeting participant</x:v>
      </x:c>
      <x:c r="F41" s="11" t="str">
        <x:v>Shared item card in meeting room</x:v>
      </x:c>
      <x:c r="G41" s="11" t="str">
        <x:v>Only meeting-target shared items show import button; dialog loads writable non-meeting targets; POST creates meeting_imports and file copies/access for selected rooms; notice/error shown.</x:v>
      </x:c>
      <x:c r="H41" s="11" t="str">
        <x:v>src/components/meeting/SharedItemCard.tsx; src/app/api/meeting-imports/route.ts; src/app/api/meeting-imports/targets/route.ts; src/server/collaboration/share-import-service.ts</x:v>
      </x:c>
      <x:c r="I41" s="11" t="str">
        <x:v>Implemented</x:v>
      </x:c>
      <x:c r="J41" s="11" t="str">
        <x:v>Unit + Component Covered</x:v>
      </x:c>
      <x:c r="K41" s="11" t="str">
        <x:v>tests/unit/share-import-service.test.ts; tests/components/cards.test.tsx</x:v>
      </x:c>
      <x:c r="L41" s="11" t="str">
        <x:v>Import to one and multiple rooms; verify copied access and room right panel import.</x:v>
      </x:c>
      <x:c r="M41" s="11" t="str">
        <x:v>D004</x:v>
      </x:c>
      <x:c r="N41" s="40" t="str">
        <x:v>Fixed</x:v>
      </x:c>
      <x:c r="O41" s="40" t="str">
        <x:v>Passed</x:v>
      </x:c>
    </x:row>
    <x:row r="42">
      <x:c r="A42" s="10" t="str">
        <x:v>F041</x:v>
      </x:c>
      <x:c r="B42" s="10" t="str">
        <x:v>Imports</x:v>
      </x:c>
      <x:c r="C42" s="10" t="str">
        <x:v>Apply meeting import to bot memory</x:v>
      </x:c>
      <x:c r="D42" s="10" t="str">
        <x:v>As a work-room member, I want imported meeting context to be applied to the room bot memory queue.</x:v>
      </x:c>
      <x:c r="E42" s="10" t="str">
        <x:v>Room member</x:v>
      </x:c>
      <x:c r="F42" s="10" t="str">
        <x:v>Meeting import card</x:v>
      </x:c>
      <x:c r="G42" s="10" t="str">
        <x:v>Pending import can POST apply; service verifies access, appends pending context, marks import processed, shows notice, disables both actions, and refreshes.</x:v>
      </x:c>
      <x:c r="H42" s="10" t="str">
        <x:v>src/components/meeting/MeetingImportCard.tsx; src/app/api/meeting-imports/[id]/apply/route.ts; src/server/collaboration/share-import-service.ts</x:v>
      </x:c>
      <x:c r="I42" s="10" t="str">
        <x:v>Implemented</x:v>
      </x:c>
      <x:c r="J42" s="10" t="str">
        <x:v>Unit Covered</x:v>
      </x:c>
      <x:c r="K42" s="10" t="str">
        <x:v>tests/unit/share-import-service.test.ts</x:v>
      </x:c>
      <x:c r="L42" s="10" t="str">
        <x:v>Apply pending import; verify memory pending context and processed status.</x:v>
      </x:c>
      <x:c r="M42" s="10"/>
      <x:c r="N42" s="10" t="str">
        <x:v>No Defect</x:v>
      </x:c>
      <x:c r="O42" s="10" t="str">
        <x:v>Passed</x:v>
      </x:c>
    </x:row>
    <x:row r="43">
      <x:c r="A43" s="11" t="str">
        <x:v>F042</x:v>
      </x:c>
      <x:c r="B43" s="11" t="str">
        <x:v>Imports/Tasks</x:v>
      </x:c>
      <x:c r="C43" s="11" t="str">
        <x:v>Create task from meeting import</x:v>
      </x:c>
      <x:c r="D43" s="11" t="str">
        <x:v>As a work-room member, I want an import to become a task when it needs follow-up.</x:v>
      </x:c>
      <x:c r="E43" s="11" t="str">
        <x:v>Room member</x:v>
      </x:c>
      <x:c r="F43" s="11" t="str">
        <x:v>Meeting import card</x:v>
      </x:c>
      <x:c r="G43" s="11" t="str">
        <x:v>Pending import can POST task; service creates task, marks import processed, shows notice, disables actions, and refreshes.</x:v>
      </x:c>
      <x:c r="H43" s="11" t="str">
        <x:v>src/components/meeting/MeetingImportCard.tsx; src/app/api/meeting-imports/[id]/task/route.ts; src/server/collaboration/share-import-service.ts</x:v>
      </x:c>
      <x:c r="I43" s="11" t="str">
        <x:v>Implemented</x:v>
      </x:c>
      <x:c r="J43" s="11" t="str">
        <x:v>Unit Covered</x:v>
      </x:c>
      <x:c r="K43" s="11" t="str">
        <x:v>tests/unit/share-import-service.test.ts</x:v>
      </x:c>
      <x:c r="L43" s="11" t="str">
        <x:v>Create task from import; verify task visible in meeting and target room.</x:v>
      </x:c>
      <x:c r="M43" s="11"/>
      <x:c r="N43" s="11" t="str">
        <x:v>No Defect</x:v>
      </x:c>
      <x:c r="O43" s="11" t="str">
        <x:v>Passed</x:v>
      </x:c>
    </x:row>
    <x:row r="44">
      <x:c r="A44" s="10" t="str">
        <x:v>F043</x:v>
      </x:c>
      <x:c r="B44" s="10" t="str">
        <x:v>Imports</x:v>
      </x:c>
      <x:c r="C44" s="10" t="str">
        <x:v>Delete meeting import</x:v>
      </x:c>
      <x:c r="D44" s="10" t="str">
        <x:v>As a work-room member, I want to dismiss/remove an import record without deleting copied files.</x:v>
      </x:c>
      <x:c r="E44" s="10" t="str">
        <x:v>Room member</x:v>
      </x:c>
      <x:c r="F44" s="10" t="str">
        <x:v>Meeting import card</x:v>
      </x:c>
      <x:c r="G44" s="10" t="str">
        <x:v>Confirmation DELETE removes import record while file copies remain managed separately; UI refreshes or shows error.</x:v>
      </x:c>
      <x:c r="H44" s="10" t="str">
        <x:v>src/components/meeting/MeetingImportCard.tsx; src/app/api/meeting-imports/[id]/route.ts; src/server/collaboration/share-import-service.ts</x:v>
      </x:c>
      <x:c r="I44" s="10" t="str">
        <x:v>Implemented</x:v>
      </x:c>
      <x:c r="J44" s="10" t="str">
        <x:v>Component Covered</x:v>
      </x:c>
      <x:c r="K44" s="10" t="str">
        <x:v>tests/components/cards.test.tsx</x:v>
      </x:c>
      <x:c r="L44" s="10" t="str">
        <x:v>Delete import and verify copied file access still exists.</x:v>
      </x:c>
      <x:c r="M44" s="10"/>
      <x:c r="N44" s="10" t="str">
        <x:v>No Defect</x:v>
      </x:c>
      <x:c r="O44" s="10" t="str">
        <x:v>Passed</x:v>
      </x:c>
    </x:row>
    <x:row r="45">
      <x:c r="A45" s="11" t="str">
        <x:v>F044</x:v>
      </x:c>
      <x:c r="B45" s="11" t="str">
        <x:v>Sharing/API</x:v>
      </x:c>
      <x:c r="C45" s="11" t="str">
        <x:v>Share message/file to meeting API</x:v>
      </x:c>
      <x:c r="D45" s="11" t="str">
        <x:v>As an integration or future UI, I want to create a shared item in the meeting room from a source message or file.</x:v>
      </x:c>
      <x:c r="E45" s="11" t="str">
        <x:v>Integration or future UI</x:v>
      </x:c>
      <x:c r="F45" s="11" t="str">
        <x:v>POST /api/shared-items</x:v>
      </x:c>
      <x:c r="G45" s="11" t="str">
        <x:v>Route creates meeting-target shared item from sourceRoomId/sourceMessageId/sourceFileId/title/summary with access checks and default values.</x:v>
      </x:c>
      <x:c r="H45" s="11" t="str">
        <x:v>src/app/api/shared-items/route.ts; src/server/collaboration/share-import-service.ts</x:v>
      </x:c>
      <x:c r="I45" s="11" t="str">
        <x:v>API Implemented; UI Dormant</x:v>
      </x:c>
      <x:c r="J45" s="11" t="str">
        <x:v>Unit Covered</x:v>
      </x:c>
      <x:c r="K45" s="11" t="str">
        <x:v>tests/unit/share-import-service.test.ts</x:v>
      </x:c>
      <x:c r="L45" s="11" t="str">
        <x:v>Call API for message-backed and file-backed shares; confirm FileShareToMeetingButton is not mounted.</x:v>
      </x:c>
      <x:c r="M45" s="11" t="str">
        <x:v>D005</x:v>
      </x:c>
      <x:c r="N45" s="41" t="str">
        <x:v>Fixed</x:v>
      </x:c>
      <x:c r="O45" s="41" t="str">
        <x:v>Passed - obsolete dormant button removed</x:v>
      </x:c>
    </x:row>
    <x:row r="46">
      <x:c r="A46" s="10" t="str">
        <x:v>F045</x:v>
      </x:c>
      <x:c r="B46" s="10" t="str">
        <x:v>Decisions</x:v>
      </x:c>
      <x:c r="C46" s="10" t="str">
        <x:v>Meeting-scoped decisions list</x:v>
      </x:c>
      <x:c r="D46" s="10" t="str">
        <x:v>As a room member, I want meeting decisions visible across rooms so everyone sees the same confirmed decisions.</x:v>
      </x:c>
      <x:c r="E46" s="10" t="str">
        <x:v>Room member</x:v>
      </x:c>
      <x:c r="F46" s="10" t="str">
        <x:v>Decision panel</x:v>
      </x:c>
      <x:c r="G46" s="10" t="str">
        <x:v>GET and room view always read decisions from meeting scope; all room panels display the list; non-meeting rooms do not show edit controls.</x:v>
      </x:c>
      <x:c r="H46" s="10" t="str">
        <x:v>src/components/rooms/DecisionTaskPanel.tsx; src/app/api/decisions/route.ts; src/server/rooms/get-room-view.ts</x:v>
      </x:c>
      <x:c r="I46" s="10" t="str">
        <x:v>Implemented</x:v>
      </x:c>
      <x:c r="J46" s="10" t="str">
        <x:v>Unit Covered</x:v>
      </x:c>
      <x:c r="K46" s="10" t="str">
        <x:v>tests/unit/room-decision-task.test.ts</x:v>
      </x:c>
      <x:c r="L46" s="10" t="str">
        <x:v>Create meeting decision and verify it appears in multiple rooms.</x:v>
      </x:c>
      <x:c r="M46" s="10"/>
      <x:c r="N46" s="10" t="str">
        <x:v>No Defect</x:v>
      </x:c>
      <x:c r="O46" s="10" t="str">
        <x:v>Passed</x:v>
      </x:c>
    </x:row>
    <x:row r="47">
      <x:c r="A47" s="11" t="str">
        <x:v>F046</x:v>
      </x:c>
      <x:c r="B47" s="11" t="str">
        <x:v>Decisions</x:v>
      </x:c>
      <x:c r="C47" s="11" t="str">
        <x:v>Create meeting decision</x:v>
      </x:c>
      <x:c r="D47" s="11" t="str">
        <x:v>As a meeting-room writer, I want to add decisions so they become shared reference points.</x:v>
      </x:c>
      <x:c r="E47" s="11" t="str">
        <x:v>Meeting room writer</x:v>
      </x:c>
      <x:c r="F47" s="11" t="str">
        <x:v>Decision panel in meeting room</x:v>
      </x:c>
      <x:c r="G47" s="11" t="str">
        <x:v>Create button appears only in meeting room; title is required; POST requires meeting membership and writable role; creates decision and audit log.</x:v>
      </x:c>
      <x:c r="H47" s="11" t="str">
        <x:v>src/components/rooms/DecisionTaskPanel.tsx; src/app/api/decisions/route.ts</x:v>
      </x:c>
      <x:c r="I47" s="11" t="str">
        <x:v>Implemented</x:v>
      </x:c>
      <x:c r="J47" s="11" t="str">
        <x:v>Unit Covered</x:v>
      </x:c>
      <x:c r="K47" s="11" t="str">
        <x:v>tests/unit/room-decision-task.test.ts</x:v>
      </x:c>
      <x:c r="L47" s="11" t="str">
        <x:v>Create with empty and valid title as writer/observer.</x:v>
      </x:c>
      <x:c r="M47" s="11"/>
      <x:c r="N47" s="11" t="str">
        <x:v>No Defect</x:v>
      </x:c>
      <x:c r="O47" s="11" t="str">
        <x:v>Passed</x:v>
      </x:c>
    </x:row>
    <x:row r="48">
      <x:c r="A48" s="10" t="str">
        <x:v>F047</x:v>
      </x:c>
      <x:c r="B48" s="10" t="str">
        <x:v>Decisions</x:v>
      </x:c>
      <x:c r="C48" s="10" t="str">
        <x:v>Edit and delete meeting decision</x:v>
      </x:c>
      <x:c r="D48" s="10" t="str">
        <x:v>As a meeting-room writer, I want to correct or remove decisions when they change.</x:v>
      </x:c>
      <x:c r="E48" s="10" t="str">
        <x:v>Meeting room writer</x:v>
      </x:c>
      <x:c r="F48" s="10" t="str">
        <x:v>Decision panel in meeting room</x:v>
      </x:c>
      <x:c r="G48" s="10" t="str">
        <x:v>Edit and delete controls appear only in meeting room; PATCH requires non-empty title and writable meeting role; DELETE removes decision; both audit.</x:v>
      </x:c>
      <x:c r="H48" s="10" t="str">
        <x:v>src/components/rooms/DecisionTaskPanel.tsx; src/app/api/decisions/[id]/route.ts</x:v>
      </x:c>
      <x:c r="I48" s="10" t="str">
        <x:v>Implemented</x:v>
      </x:c>
      <x:c r="J48" s="10" t="str">
        <x:v>Unit Covered</x:v>
      </x:c>
      <x:c r="K48" s="10" t="str">
        <x:v>tests/unit/room-decision-task.test.ts</x:v>
      </x:c>
      <x:c r="L48" s="10" t="str">
        <x:v>Edit/delete as writer and observer; verify errors and audit.</x:v>
      </x:c>
      <x:c r="M48" s="10"/>
      <x:c r="N48" s="10" t="str">
        <x:v>No Defect</x:v>
      </x:c>
      <x:c r="O48" s="10" t="str">
        <x:v>Passed</x:v>
      </x:c>
    </x:row>
    <x:row r="49">
      <x:c r="A49" s="11" t="str">
        <x:v>F048</x:v>
      </x:c>
      <x:c r="B49" s="11" t="str">
        <x:v>Tasks</x:v>
      </x:c>
      <x:c r="C49" s="11" t="str">
        <x:v>Task list visibility</x:v>
      </x:c>
      <x:c r="D49" s="11" t="str">
        <x:v>As a room member, I want tasks relevant to my room to be visible without leaking other rooms' tasks.</x:v>
      </x:c>
      <x:c r="E49" s="11" t="str">
        <x:v>Room member</x:v>
      </x:c>
      <x:c r="F49" s="11" t="str">
        <x:v>Task panel; /api/tasks</x:v>
      </x:c>
      <x:c r="G49" s="11" t="str">
        <x:v>Room task list reads room-specific tasks; no-room API filters to tasks in member rooms or assigned to member rooms.</x:v>
      </x:c>
      <x:c r="H49" s="11" t="str">
        <x:v>src/components/rooms/DecisionTaskPanel.tsx; src/app/api/tasks/route.ts</x:v>
      </x:c>
      <x:c r="I49" s="11" t="str">
        <x:v>Implemented</x:v>
      </x:c>
      <x:c r="J49" s="11" t="str">
        <x:v>Unit Covered</x:v>
      </x:c>
      <x:c r="K49" s="11" t="str">
        <x:v>tests/unit/room-decision-task.test.ts</x:v>
      </x:c>
      <x:c r="L49" s="11" t="str">
        <x:v>Seed tasks for accessible/inaccessible rooms and query both modes.</x:v>
      </x:c>
      <x:c r="M49" s="11"/>
      <x:c r="N49" s="11" t="str">
        <x:v>No Defect</x:v>
      </x:c>
      <x:c r="O49" s="11" t="str">
        <x:v>Passed</x:v>
      </x:c>
    </x:row>
    <x:row r="50">
      <x:c r="A50" s="10" t="str">
        <x:v>F049</x:v>
      </x:c>
      <x:c r="B50" s="10" t="str">
        <x:v>Tasks</x:v>
      </x:c>
      <x:c r="C50" s="10" t="str">
        <x:v>Create work-room task</x:v>
      </x:c>
      <x:c r="D50" s="10" t="str">
        <x:v>As a work-room writer, I want to create a task that is visible in the work room and meeting room.</x:v>
      </x:c>
      <x:c r="E50" s="10" t="str">
        <x:v>Work-room writer</x:v>
      </x:c>
      <x:c r="F50" s="10" t="str">
        <x:v>Task panel in work room</x:v>
      </x:c>
      <x:c r="G50" s="10" t="str">
        <x:v>Dialog defaults to current room; POST requires writable current room and meeting membership; creates meeting-scoped task assigned to current room; audits.</x:v>
      </x:c>
      <x:c r="H50" s="10" t="str">
        <x:v>src/components/rooms/DecisionTaskPanel.tsx; src/app/api/tasks/route.ts</x:v>
      </x:c>
      <x:c r="I50" s="10" t="str">
        <x:v>Implemented</x:v>
      </x:c>
      <x:c r="J50" s="10" t="str">
        <x:v>Unit + Browser Covered</x:v>
      </x:c>
      <x:c r="K50" s="10" t="str">
        <x:v>tests/unit/room-decision-task.test.ts; post-fix browser retest</x:v>
      </x:c>
      <x:c r="L50" s="10" t="str">
        <x:v>Create from work room; verify task target pill and meeting visibility.</x:v>
      </x:c>
      <x:c r="M50" s="10" t="str">
        <x:v>D003</x:v>
      </x:c>
      <x:c r="N50" s="40" t="str">
        <x:v>Fixed</x:v>
      </x:c>
      <x:c r="O50" s="40" t="str">
        <x:v>Passed</x:v>
      </x:c>
    </x:row>
    <x:row r="51">
      <x:c r="A51" s="11" t="str">
        <x:v>F050</x:v>
      </x:c>
      <x:c r="B51" s="11" t="str">
        <x:v>Tasks</x:v>
      </x:c>
      <x:c r="C51" s="11" t="str">
        <x:v>Create meeting task for selected work rooms</x:v>
      </x:c>
      <x:c r="D51" s="11" t="str">
        <x:v>As a meeting-room writer, I want to create one task for each selected work room.</x:v>
      </x:c>
      <x:c r="E51" s="11" t="str">
        <x:v>Meeting room writer</x:v>
      </x:c>
      <x:c r="F51" s="11" t="str">
        <x:v>Task panel in meeting room</x:v>
      </x:c>
      <x:c r="G51" s="11" t="str">
        <x:v>Meeting task dialog requires at least one non-meeting target; each target must be writable; creates meeting-scoped tasks assigned to target rooms and audits.</x:v>
      </x:c>
      <x:c r="H51" s="11" t="str">
        <x:v>src/components/rooms/DecisionTaskPanel.tsx; src/app/api/tasks/route.ts</x:v>
      </x:c>
      <x:c r="I51" s="11" t="str">
        <x:v>Implemented</x:v>
      </x:c>
      <x:c r="J51" s="11" t="str">
        <x:v>Unit + Browser Covered</x:v>
      </x:c>
      <x:c r="K51" s="11" t="str">
        <x:v>tests/unit/room-decision-task.test.ts; post-fix browser retest</x:v>
      </x:c>
      <x:c r="L51" s="11" t="str">
        <x:v>Create from meeting with none, one, and multiple targets; verify project-room labels.</x:v>
      </x:c>
      <x:c r="M51" s="11" t="str">
        <x:v>D003</x:v>
      </x:c>
      <x:c r="N51" s="40" t="str">
        <x:v>Fixed</x:v>
      </x:c>
      <x:c r="O51" s="40" t="str">
        <x:v>Passed</x:v>
      </x:c>
    </x:row>
    <x:row r="52">
      <x:c r="A52" s="10" t="str">
        <x:v>F051</x:v>
      </x:c>
      <x:c r="B52" s="10" t="str">
        <x:v>Video Meetings</x:v>
      </x:c>
      <x:c r="C52" s="10" t="str">
        <x:v>Active meeting panel refresh and reuse</x:v>
      </x:c>
      <x:c r="D52" s="10" t="str">
        <x:v>As a member, I want one active meeting per room so everyone joins the same call.</x:v>
      </x:c>
      <x:c r="E52" s="10" t="str">
        <x:v>Room member</x:v>
      </x:c>
      <x:c r="F52" s="10" t="str">
        <x:v>Video meeting panel</x:v>
      </x:c>
      <x:c r="G52" s="10" t="str">
        <x:v>Panel initializes from server state, polls active meeting every 15 seconds, shows current meeting when active, and start attempts reuse an existing active meeting.</x:v>
      </x:c>
      <x:c r="H52" s="10" t="str">
        <x:v>src/components/video-meetings/VideoMeetingPanel.tsx; src/lib/video-meetings/service.ts</x:v>
      </x:c>
      <x:c r="I52" s="10" t="str">
        <x:v>Implemented</x:v>
      </x:c>
      <x:c r="J52" s="10" t="str">
        <x:v>Unit Covered</x:v>
      </x:c>
      <x:c r="K52" s="10" t="str">
        <x:v>tests/unit/video-meeting-service.test.ts</x:v>
      </x:c>
      <x:c r="L52" s="10" t="str">
        <x:v>Start meeting twice; verify one live meeting and panel updates.</x:v>
      </x:c>
      <x:c r="M52" s="10"/>
      <x:c r="N52" s="10" t="str">
        <x:v>No Defect</x:v>
      </x:c>
      <x:c r="O52" s="10" t="str">
        <x:v>Passed</x:v>
      </x:c>
    </x:row>
    <x:row r="53">
      <x:c r="A53" s="11" t="str">
        <x:v>F052</x:v>
      </x:c>
      <x:c r="B53" s="11" t="str">
        <x:v>Video Meetings</x:v>
      </x:c>
      <x:c r="C53" s="11" t="str">
        <x:v>Start Google Meet with consent</x:v>
      </x:c>
      <x:c r="D53" s="11" t="str">
        <x:v>As a meeting-room member, I want to start a call and record consent settings before sensitive meeting features are used.</x:v>
      </x:c>
      <x:c r="E53" s="11" t="str">
        <x:v>Meeting room writer</x:v>
      </x:c>
      <x:c r="F53" s="11" t="str">
        <x:v>Video meeting start dialog</x:v>
      </x:c>
      <x:c r="G53" s="11" t="str">
        <x:v>Dialog captures title, description, provider, recording/transcript/AI summary consent; POST creates or reuses live meeting; opens Meet URL; redirects to meeting room; manual link registration alert appears when needed.</x:v>
      </x:c>
      <x:c r="H53" s="11" t="str">
        <x:v>src/components/video-meetings/VideoMeetingStartDialog.tsx; src/app/api/video-meetings/route.ts; src/lib/video-meetings/service.ts</x:v>
      </x:c>
      <x:c r="I53" s="11" t="str">
        <x:v>Implemented</x:v>
      </x:c>
      <x:c r="J53" s="11" t="str">
        <x:v>Unit/Component + Browser Covered</x:v>
      </x:c>
      <x:c r="K53" s="11" t="str">
        <x:v>tests/unit/video-meeting-service.test.ts; tests/components/video-meeting.test.tsx; post-fix browser retest</x:v>
      </x:c>
      <x:c r="L53" s="11" t="str">
        <x:v>Start with default and custom title; verify consent payload and stale default title.</x:v>
      </x:c>
      <x:c r="M53" s="11" t="str">
        <x:v>D001</x:v>
      </x:c>
      <x:c r="N53" s="40" t="str">
        <x:v>Fixed</x:v>
      </x:c>
      <x:c r="O53" s="40" t="str">
        <x:v>Passed</x:v>
      </x:c>
    </x:row>
    <x:row r="54">
      <x:c r="A54" s="10" t="str">
        <x:v>F053</x:v>
      </x:c>
      <x:c r="B54" s="10" t="str">
        <x:v>Video Meetings</x:v>
      </x:c>
      <x:c r="C54" s="10" t="str">
        <x:v>Manual Google Meet join URL registration</x:v>
      </x:c>
      <x:c r="D54" s="10" t="str">
        <x:v>As a meeting host, I want to register the generated Meet URL so everyone joins the same meeting.</x:v>
      </x:c>
      <x:c r="E54" s="10" t="str">
        <x:v>Meeting host</x:v>
      </x:c>
      <x:c r="F54" s="10" t="str">
        <x:v>Join URL form</x:v>
      </x:c>
      <x:c r="G54" s="10" t="str">
        <x:v>When a meeting lacks registered URL, form opens Google Meet create URL, accepts a URL, PATCH normalizes/validates Meet URL, updates panel or reloads, and shows message/errors.</x:v>
      </x:c>
      <x:c r="H54" s="10" t="str">
        <x:v>src/components/video-meetings/VideoMeetingJoinUrlForm.tsx; src/app/api/video-meetings/[id]/join-url/route.ts; src/lib/video-meetings/join-url.ts</x:v>
      </x:c>
      <x:c r="I54" s="10" t="str">
        <x:v>Implemented</x:v>
      </x:c>
      <x:c r="J54" s="10" t="str">
        <x:v>Unit Covered</x:v>
      </x:c>
      <x:c r="K54" s="10" t="str">
        <x:v>tests/unit/video-meeting.test.ts; tests/unit/video-meeting-service.test.ts</x:v>
      </x:c>
      <x:c r="L54" s="10" t="str">
        <x:v>Register valid and invalid Meet URLs; verify normalization and UI replacement with join button.</x:v>
      </x:c>
      <x:c r="M54" s="10"/>
      <x:c r="N54" s="10" t="str">
        <x:v>No Defect</x:v>
      </x:c>
      <x:c r="O54" s="10" t="str">
        <x:v>Passed</x:v>
      </x:c>
    </x:row>
    <x:row r="55">
      <x:c r="A55" s="11" t="str">
        <x:v>F054</x:v>
      </x:c>
      <x:c r="B55" s="11" t="str">
        <x:v>Video Meetings</x:v>
      </x:c>
      <x:c r="C55" s="11" t="str">
        <x:v>Join meeting</x:v>
      </x:c>
      <x:c r="D55" s="11" t="str">
        <x:v>As a participant, I want to open the registered meeting URL with my School-X account hint and have my join intent recorded.</x:v>
      </x:c>
      <x:c r="E55" s="11" t="str">
        <x:v>Meeting participant</x:v>
      </x:c>
      <x:c r="F55" s="11" t="str">
        <x:v>Join meeting button/banner</x:v>
      </x:c>
      <x:c r="G55" s="11" t="str">
        <x:v>Click validates URL presence, opens URL in new tab with authuser for Google Meet, POSTs join event, and shows error if logging fails.</x:v>
      </x:c>
      <x:c r="H55" s="11" t="str">
        <x:v>src/components/video-meetings/VideoMeetingJoinButton.tsx; src/app/api/video-meetings/[id]/join/route.ts; src/lib/video-meetings/join-url.ts</x:v>
      </x:c>
      <x:c r="I55" s="11" t="str">
        <x:v>Implemented</x:v>
      </x:c>
      <x:c r="J55" s="11" t="str">
        <x:v>Component/Unit Covered</x:v>
      </x:c>
      <x:c r="K55" s="11" t="str">
        <x:v>tests/components/video-meeting.test.tsx; tests/unit/video-meeting-service.test.ts</x:v>
      </x:c>
      <x:c r="L55" s="11" t="str">
        <x:v>Click with registered and missing URL; verify window.open and event log.</x:v>
      </x:c>
      <x:c r="M55" s="11"/>
      <x:c r="N55" s="11" t="str">
        <x:v>No Defect</x:v>
      </x:c>
      <x:c r="O55" s="11" t="str">
        <x:v>Passed</x:v>
      </x:c>
    </x:row>
    <x:row r="56">
      <x:c r="A56" s="10" t="str">
        <x:v>F055</x:v>
      </x:c>
      <x:c r="B56" s="10" t="str">
        <x:v>Video Meetings</x:v>
      </x:c>
      <x:c r="C56" s="10" t="str">
        <x:v>End meeting</x:v>
      </x:c>
      <x:c r="D56" s="10" t="str">
        <x:v>As a meeting-room member, I want to end the active meeting so the UI no longer routes users into stale calls.</x:v>
      </x:c>
      <x:c r="E56" s="10" t="str">
        <x:v>Meeting participant</x:v>
      </x:c>
      <x:c r="F56" s="10" t="str">
        <x:v>End meeting button/banner</x:v>
      </x:c>
      <x:c r="G56" s="10" t="str">
        <x:v>POST ends meeting if user can end it; UI clears current meeting via callback or reloads; error is shown on failure.</x:v>
      </x:c>
      <x:c r="H56" s="10" t="str">
        <x:v>src/components/video-meetings/VideoMeetingEndButton.tsx; src/app/api/video-meetings/[id]/end/route.ts; src/lib/video-meetings/service.ts</x:v>
      </x:c>
      <x:c r="I56" s="10" t="str">
        <x:v>Implemented</x:v>
      </x:c>
      <x:c r="J56" s="10" t="str">
        <x:v>Unit Covered</x:v>
      </x:c>
      <x:c r="K56" s="10" t="str">
        <x:v>tests/unit/video-meeting-service.test.ts</x:v>
      </x:c>
      <x:c r="L56" s="10" t="str">
        <x:v>End active, ended, and inaccessible meetings; verify panel changes.</x:v>
      </x:c>
      <x:c r="M56" s="10"/>
      <x:c r="N56" s="10" t="str">
        <x:v>No Defect</x:v>
      </x:c>
      <x:c r="O56" s="10" t="str">
        <x:v>Passed</x:v>
      </x:c>
    </x:row>
    <x:row r="57">
      <x:c r="A57" s="11" t="str">
        <x:v>F056</x:v>
      </x:c>
      <x:c r="B57" s="11" t="str">
        <x:v>Video Meetings/Google</x:v>
      </x:c>
      <x:c r="C57" s="11" t="str">
        <x:v>Automatic Google Meet link creation</x:v>
      </x:c>
      <x:c r="D57" s="11" t="str">
        <x:v>As an operator, I want connected Google credentials to auto-register a Meet URL so hosts do not paste links manually.</x:v>
      </x:c>
      <x:c r="E57" s="11" t="str">
        <x:v>Operator/meeting host</x:v>
      </x:c>
      <x:c r="F57" s="11" t="str">
        <x:v>Meeting start service; Google connect</x:v>
      </x:c>
      <x:c r="G57" s="11" t="str">
        <x:v>When Google credentials/token are configured, service creates Meet Space or Calendar event, stores normalized URL and provider metadata, and records events; failures fall back to manual registration.</x:v>
      </x:c>
      <x:c r="H57" s="11" t="str">
        <x:v>src/lib/video-meetings/providers/google-meet.ts; src/server/integrations/google-oauth.ts; src/app/api/integrations/google/connect/route.ts; src/app/api/integrations/google/callback/route.ts</x:v>
      </x:c>
      <x:c r="I57" s="11" t="str">
        <x:v>Implemented</x:v>
      </x:c>
      <x:c r="J57" s="11" t="str">
        <x:v>Unit Covered</x:v>
      </x:c>
      <x:c r="K57" s="11" t="str">
        <x:v>tests/unit/video-meeting-service.test.ts; tests/unit/token-crypto.test.ts</x:v>
      </x:c>
      <x:c r="L57" s="11" t="str">
        <x:v>Connect Google token, start meeting, verify auto URL; simulate Meet API failure and Calendar fallback.</x:v>
      </x:c>
      <x:c r="M57" s="11"/>
      <x:c r="N57" s="11" t="str">
        <x:v>No Defect</x:v>
      </x:c>
      <x:c r="O57" s="11" t="str">
        <x:v>Passed</x:v>
      </x:c>
    </x:row>
    <x:row r="58">
      <x:c r="A58" s="10" t="str">
        <x:v>F057</x:v>
      </x:c>
      <x:c r="B58" s="10" t="str">
        <x:v>Video Meetings/Zoom</x:v>
      </x:c>
      <x:c r="C58" s="10" t="str">
        <x:v>Zoom provider and participant signature</x:v>
      </x:c>
      <x:c r="D58" s="10" t="str">
        <x:v>As a member, I want Zoom available only when explicitly enabled and only with participant-level SDK signatures.</x:v>
      </x:c>
      <x:c r="E58" s="10" t="str">
        <x:v>Room member</x:v>
      </x:c>
      <x:c r="F58" s="10" t="str">
        <x:v>Provider picker; /api/video-meetings/zoom/signature</x:v>
      </x:c>
      <x:c r="G58" s="10" t="str">
        <x:v>Zoom option is hidden unless NEXT_PUBLIC_ENABLE_ZOOM_EMBED=true; signature route requires auth, SDK env, registered active/scheduled meeting, and always uses participant role=0.</x:v>
      </x:c>
      <x:c r="H58" s="10" t="str">
        <x:v>src/components/video-meetings/VideoMeetingProviderPicker.tsx; src/app/api/video-meetings/zoom/signature/route.ts; src/lib/video-meetings/permissions.ts</x:v>
      </x:c>
      <x:c r="I58" s="10" t="str">
        <x:v>Implemented</x:v>
      </x:c>
      <x:c r="J58" s="10" t="str">
        <x:v>Unit Covered</x:v>
      </x:c>
      <x:c r="K58" s="10" t="str">
        <x:v>tests/unit/zoom-meeting-access.test.ts</x:v>
      </x:c>
      <x:c r="L58" s="10" t="str">
        <x:v>Enable flag, create Zoom meeting, request signature for valid/invalid meeting numbers.</x:v>
      </x:c>
      <x:c r="M58" s="10"/>
      <x:c r="N58" s="10" t="str">
        <x:v>No Defect</x:v>
      </x:c>
      <x:c r="O58" s="10" t="str">
        <x:v>Passed</x:v>
      </x:c>
    </x:row>
    <x:row r="59">
      <x:c r="A59" s="11" t="str">
        <x:v>F058</x:v>
      </x:c>
      <x:c r="B59" s="11" t="str">
        <x:v>Video Meetings/API</x:v>
      </x:c>
      <x:c r="C59" s="11" t="str">
        <x:v>Meeting artifacts</x:v>
      </x:c>
      <x:c r="D59" s="11" t="str">
        <x:v>As an integration, I want to attach transcripts, minutes, recordings, summaries, or provider metadata to a meeting.</x:v>
      </x:c>
      <x:c r="E59" s="11" t="str">
        <x:v>Integration or operator</x:v>
      </x:c>
      <x:c r="F59" s="11" t="str">
        <x:v>POST /api/video-meetings/{id}/artifacts</x:v>
      </x:c>
      <x:c r="G59" s="11" t="str">
        <x:v>Route validates artifact type/title/content/http URL, verifies meeting access, creates artifact, and returns it.</x:v>
      </x:c>
      <x:c r="H59" s="11" t="str">
        <x:v>src/app/api/video-meetings/[id]/artifacts/route.ts; src/lib/video-meetings/service.ts; src/components/video-meetings/VideoMeetingArtifactCard.tsx</x:v>
      </x:c>
      <x:c r="I59" s="11" t="str">
        <x:v>API Implemented; UI Dormant</x:v>
      </x:c>
      <x:c r="J59" s="41" t="str">
        <x:v>Unit + Component Covered</x:v>
      </x:c>
      <x:c r="K59" s="11" t="str">
        <x:v>tests/unit/video-meeting-service.test.ts; tests/components/video-meeting.test.tsx</x:v>
      </x:c>
      <x:c r="L59" s="11" t="str">
        <x:v>Call artifacts API with each artifact type and invalid externalUrl; inspect dormant card actions.</x:v>
      </x:c>
      <x:c r="M59" s="11" t="str">
        <x:v>D006</x:v>
      </x:c>
      <x:c r="N59" s="41" t="str">
        <x:v>Fixed</x:v>
      </x:c>
      <x:c r="O59" s="41" t="str">
        <x:v>Passed</x:v>
      </x:c>
    </x:row>
    <x:row r="60">
      <x:c r="A60" s="10" t="str">
        <x:v>F059</x:v>
      </x:c>
      <x:c r="B60" s="10" t="str">
        <x:v>Video Meetings/API</x:v>
      </x:c>
      <x:c r="C60" s="10" t="str">
        <x:v>Meeting summary generation</x:v>
      </x:c>
      <x:c r="D60" s="10" t="str">
        <x:v>As an operator, I want to generate an AI summary artifact from meeting data when consent allows.</x:v>
      </x:c>
      <x:c r="E60" s="10" t="str">
        <x:v>Operator or integration</x:v>
      </x:c>
      <x:c r="F60" s="10" t="str">
        <x:v>POST /api/video-meetings/{id}/summarize</x:v>
      </x:c>
      <x:c r="G60" s="10" t="str">
        <x:v>Route calls summarizeVideoMeeting for an accessible meeting and returns the generated artifact; service enforces meeting access and summary behavior.</x:v>
      </x:c>
      <x:c r="H60" s="10" t="str">
        <x:v>src/app/api/video-meetings/[id]/summarize/route.ts; src/lib/video-meetings/service.ts</x:v>
      </x:c>
      <x:c r="I60" s="10" t="str">
        <x:v>Implemented</x:v>
      </x:c>
      <x:c r="J60" s="10" t="str">
        <x:v>Unit Covered</x:v>
      </x:c>
      <x:c r="K60" s="10" t="str">
        <x:v>tests/unit/video-meeting-service.test.ts</x:v>
      </x:c>
      <x:c r="L60" s="10" t="str">
        <x:v>Call summarize for accessible/inaccessible meetings and with consent settings.</x:v>
      </x:c>
      <x:c r="M60" s="10"/>
      <x:c r="N60" s="10" t="str">
        <x:v>No Defect</x:v>
      </x:c>
      <x:c r="O60" s="10" t="str">
        <x:v>Passed</x:v>
      </x:c>
    </x:row>
    <x:row r="61">
      <x:c r="A61" s="11" t="str">
        <x:v>F060</x:v>
      </x:c>
      <x:c r="B61" s="11" t="str">
        <x:v>Video Meetings/UI</x:v>
      </x:c>
      <x:c r="C61" s="11" t="str">
        <x:v>Active meeting banner</x:v>
      </x:c>
      <x:c r="D61" s="11" t="str">
        <x:v>As a meeting-room participant, I want active meetings visible at the top of chat.</x:v>
      </x:c>
      <x:c r="E61" s="11" t="str">
        <x:v>Meeting participant</x:v>
      </x:c>
      <x:c r="F61" s="11" t="str">
        <x:v>Meeting room workspace</x:v>
      </x:c>
      <x:c r="G61" s="11" t="str">
        <x:v>Meeting room renders banner only when activeMeeting exists; banner shows provider, title, live status, join/end controls, and join URL registration form when missing.</x:v>
      </x:c>
      <x:c r="H61" s="11" t="str">
        <x:v>src/components/video-meetings/ActiveVideoMeetingBanner.tsx; src/components/rooms/RoomWorkspace.tsx</x:v>
      </x:c>
      <x:c r="I61" s="11" t="str">
        <x:v>Implemented</x:v>
      </x:c>
      <x:c r="J61" s="11" t="str">
        <x:v>Component Covered</x:v>
      </x:c>
      <x:c r="K61" s="11" t="str">
        <x:v>tests/components/video-meeting.test.tsx</x:v>
      </x:c>
      <x:c r="L61" s="11" t="str">
        <x:v>Open meeting room with active meeting with and without URL.</x:v>
      </x:c>
      <x:c r="M61" s="11"/>
      <x:c r="N61" s="11" t="str">
        <x:v>No Defect</x:v>
      </x:c>
      <x:c r="O61" s="11" t="str">
        <x:v>Passed</x:v>
      </x:c>
    </x:row>
    <x:row r="62">
      <x:c r="A62" s="10" t="str">
        <x:v>F061</x:v>
      </x:c>
      <x:c r="B62" s="10" t="str">
        <x:v>Video Meetings/UI</x:v>
      </x:c>
      <x:c r="C62" s="10" t="str">
        <x:v>Meeting summary/artifact action stubs</x:v>
      </x:c>
      <x:c r="D62" s="10" t="str">
        <x:v>As a meeting participant, I would expect summary/artifact action buttons to perform the named conversions.</x:v>
      </x:c>
      <x:c r="E62" s="10" t="str">
        <x:v>Meeting participant</x:v>
      </x:c>
      <x:c r="F62" s="10" t="str">
        <x:v>Dormant components</x:v>
      </x:c>
      <x:c r="G62" s="10" t="str">
        <x:v>MeetingSummaryReview, CreateDecisionTaskFromSummary, VideoMeetingArtifactCard, ZoomMeetingEmbed, and ZoomFallbackCard exist but are not mounted in scanned routes; artifact action buttons have no handlers.</x:v>
      </x:c>
      <x:c r="H62" s="10" t="str">
        <x:v>src/components/video-meetings/MeetingSummaryReview.tsx; src/components/video-meetings/CreateDecisionTaskFromSummary.tsx; src/components/video-meetings/VideoMeetingArtifactCard.tsx; src/components/video-meetings/ZoomMeetingEmbed.tsx; src/components/video-meetings/ZoomFallbackCard.tsx</x:v>
      </x:c>
      <x:c r="I62" s="10" t="str">
        <x:v>Dormant/Incomplete</x:v>
      </x:c>
      <x:c r="J62" s="41" t="str">
        <x:v>Component Covered</x:v>
      </x:c>
      <x:c r="K62" s="10" t="str">
        <x:v>tests/components/video-meeting.test.tsx</x:v>
      </x:c>
      <x:c r="L62" s="10" t="str">
        <x:v>Verify components are unmounted; if mounted later, add handlers or disable as unavailable.</x:v>
      </x:c>
      <x:c r="M62" s="10" t="str">
        <x:v>D006</x:v>
      </x:c>
      <x:c r="N62" s="41" t="str">
        <x:v>Fixed</x:v>
      </x:c>
      <x:c r="O62" s="41" t="str">
        <x:v>Passed - dormant actions disabled</x:v>
      </x:c>
    </x:row>
    <x:row r="63">
      <x:c r="A63" s="11" t="str">
        <x:v>F062</x:v>
      </x:c>
      <x:c r="B63" s="11" t="str">
        <x:v>Admin</x:v>
      </x:c>
      <x:c r="C63" s="11" t="str">
        <x:v>Admin page access gate</x:v>
      </x:c>
      <x:c r="D63" s="11" t="str">
        <x:v>As an admin, I want admin pages protected so non-admins cannot manage users.</x:v>
      </x:c>
      <x:c r="E63" s="11" t="str">
        <x:v>Admin or non-admin</x:v>
      </x:c>
      <x:c r="F63" s="11" t="str">
        <x:v>/admin; /admin/ops</x:v>
      </x:c>
      <x:c r="G63" s="11" t="str">
        <x:v>Pages require admin; unauthenticated users redirect to login with next path; forbidden users redirect to /office.</x:v>
      </x:c>
      <x:c r="H63" s="11" t="str">
        <x:v>src/app/(workspace)/admin/page.tsx; src/app/(workspace)/admin/ops/page.tsx; src/server/auth/require-user.ts</x:v>
      </x:c>
      <x:c r="I63" s="11" t="str">
        <x:v>Implemented</x:v>
      </x:c>
      <x:c r="J63" s="40" t="str">
        <x:v>E2E Smoke Covered</x:v>
      </x:c>
      <x:c r="K63" s="11" t="str">
        <x:v>tests/e2e/smoke.spec.ts; post-fix browser retest for admin sidebar shell</x:v>
      </x:c>
      <x:c r="L63" s="11" t="str">
        <x:v>Visit admin pages as admin, member, and unauthenticated user.</x:v>
      </x:c>
      <x:c r="M63" s="11"/>
      <x:c r="N63" s="11" t="str">
        <x:v>No Defect</x:v>
      </x:c>
      <x:c r="O63" s="40" t="str">
        <x:v>Passed</x:v>
      </x:c>
    </x:row>
    <x:row r="64">
      <x:c r="A64" s="10" t="str">
        <x:v>F063</x:v>
      </x:c>
      <x:c r="B64" s="10" t="str">
        <x:v>Admin</x:v>
      </x:c>
      <x:c r="C64" s="10" t="str">
        <x:v>Invite approved user</x:v>
      </x:c>
      <x:c r="D64" s="10" t="str">
        <x:v>As an admin, I want to approve/invite an email and optionally mark it admin.</x:v>
      </x:c>
      <x:c r="E64" s="10" t="str">
        <x:v>Admin</x:v>
      </x:c>
      <x:c r="F64" s="10" t="str">
        <x:v>Admin dashboard invite form</x:v>
      </x:c>
      <x:c r="G64" s="10" t="str">
        <x:v>Form requires email, accepts notes and admin checkbox; POST upserts allowed user in Supabase, grants all rooms when admin, logs audit; mock mode records audit only.</x:v>
      </x:c>
      <x:c r="H64" s="10" t="str">
        <x:v>src/components/admin/AllowedUserForm.tsx; src/app/api/admin/allowed-users/route.ts</x:v>
      </x:c>
      <x:c r="I64" s="10" t="str">
        <x:v>Implemented</x:v>
      </x:c>
      <x:c r="J64" s="41" t="str">
        <x:v>Component Covered</x:v>
      </x:c>
      <x:c r="K64" s="10" t="str">
        <x:v>tests/components/admin-controls.test.tsx</x:v>
      </x:c>
      <x:c r="L64" s="10" t="str">
        <x:v>Invite valid/invalid email in mock and supabase mode; verify audit and admin grant.</x:v>
      </x:c>
      <x:c r="M64" s="10"/>
      <x:c r="N64" s="10" t="str">
        <x:v>No Defect</x:v>
      </x:c>
      <x:c r="O64" s="10" t="str">
        <x:v>Passed</x:v>
      </x:c>
    </x:row>
    <x:row r="65">
      <x:c r="A65" s="11" t="str">
        <x:v>F064</x:v>
      </x:c>
      <x:c r="B65" s="11" t="str">
        <x:v>Admin</x:v>
      </x:c>
      <x:c r="C65" s="11" t="str">
        <x:v>Allowed user active/admin toggles</x:v>
      </x:c>
      <x:c r="D65" s="11" t="str">
        <x:v>As an admin, I want to activate/deactivate users and grant/revoke admin rights safely.</x:v>
      </x:c>
      <x:c r="E65" s="11" t="str">
        <x:v>Admin</x:v>
      </x:c>
      <x:c r="F65" s="11" t="str">
        <x:v>Allowed users table</x:v>
      </x:c>
      <x:c r="G65" s="11" t="str">
        <x:v>Switches PATCH isActive/isAdmin; current admin cannot disable own active/admin; admin grant updates profile and room memberships; messages show success/errors.</x:v>
      </x:c>
      <x:c r="H65" s="11" t="str">
        <x:v>src/components/admin/AllowedUsersManager.tsx; src/app/api/admin/allowed-users/route.ts</x:v>
      </x:c>
      <x:c r="I65" s="11" t="str">
        <x:v>Implemented</x:v>
      </x:c>
      <x:c r="J65" s="11" t="str">
        <x:v>Component Covered</x:v>
      </x:c>
      <x:c r="K65" s="11" t="str">
        <x:v>tests/components/admin-controls.test.tsx</x:v>
      </x:c>
      <x:c r="L65" s="11" t="str">
        <x:v>Toggle another user and attempt self-disable; verify route responses.</x:v>
      </x:c>
      <x:c r="M65" s="11"/>
      <x:c r="N65" s="11" t="str">
        <x:v>No Defect</x:v>
      </x:c>
      <x:c r="O65" s="11" t="str">
        <x:v>Passed</x:v>
      </x:c>
    </x:row>
    <x:row r="66">
      <x:c r="A66" s="10" t="str">
        <x:v>F065</x:v>
      </x:c>
      <x:c r="B66" s="10" t="str">
        <x:v>Admin</x:v>
      </x:c>
      <x:c r="C66" s="10" t="str">
        <x:v>Room membership management</x:v>
      </x:c>
      <x:c r="D66" s="10" t="str">
        <x:v>As an admin, I want to grant or remove room roles for existing and invited users across multiple rooms.</x:v>
      </x:c>
      <x:c r="E66" s="10" t="str">
        <x:v>Admin</x:v>
      </x:c>
      <x:c r="F66" s="10" t="str">
        <x:v>Membership manager</x:v>
      </x:c>
      <x:c r="G66" s="10" t="str">
        <x:v>Combines profiles and active allowed users without profiles as pending targets; supports role selection, all/clear room selection, multi-room update/remove, pending memberships, and audit per room.</x:v>
      </x:c>
      <x:c r="H66" s="10" t="str">
        <x:v>src/components/admin/MembershipManager.tsx; src/app/api/admin/memberships/route.ts</x:v>
      </x:c>
      <x:c r="I66" s="10" t="str">
        <x:v>Implemented</x:v>
      </x:c>
      <x:c r="J66" s="10" t="str">
        <x:v>Component Covered</x:v>
      </x:c>
      <x:c r="K66" s="10" t="str">
        <x:v>tests/components/admin-controls.test.tsx</x:v>
      </x:c>
      <x:c r="L66" s="10" t="str">
        <x:v>Grant/remove member/admin/observer for profile and pending email targets.</x:v>
      </x:c>
      <x:c r="M66" s="10"/>
      <x:c r="N66" s="10" t="str">
        <x:v>No Defect</x:v>
      </x:c>
      <x:c r="O66" s="10" t="str">
        <x:v>Passed</x:v>
      </x:c>
    </x:row>
    <x:row r="67">
      <x:c r="A67" s="11" t="str">
        <x:v>F066</x:v>
      </x:c>
      <x:c r="B67" s="11" t="str">
        <x:v>Admin/Ops</x:v>
      </x:c>
      <x:c r="C67" s="11" t="str">
        <x:v>Operations dashboard</x:v>
      </x:c>
      <x:c r="D67" s="11" t="str">
        <x:v>As an operator, I want agent-run, failure, memory-review, and audit summaries so I can inspect risks.</x:v>
      </x:c>
      <x:c r="E67" s="11" t="str">
        <x:v>Admin/operator</x:v>
      </x:c>
      <x:c r="F67" s="11" t="str">
        <x:v>/admin/ops</x:v>
      </x:c>
      <x:c r="G67" s="11" t="str">
        <x:v>Shows metrics for agent runs, failed runs, requires_action runs, pending memory reviews, Google Meet connect CTA, recent agent_runs, and recent audit_logs.</x:v>
      </x:c>
      <x:c r="H67" s="11" t="str">
        <x:v>src/components/admin/OpsDashboard.tsx; src/app/(workspace)/admin/ops/page.tsx</x:v>
      </x:c>
      <x:c r="I67" s="11" t="str">
        <x:v>Implemented</x:v>
      </x:c>
      <x:c r="J67" s="40" t="str">
        <x:v>Browser Smoke Covered</x:v>
      </x:c>
      <x:c r="K67" s="11" t="str">
        <x:v>post-fix browser/admin render retest</x:v>
      </x:c>
      <x:c r="L67" s="11" t="str">
        <x:v>Open ops with seeded runs/logs/reviews; verify metrics and lists.</x:v>
      </x:c>
      <x:c r="M67" s="11"/>
      <x:c r="N67" s="11" t="str">
        <x:v>No Defect</x:v>
      </x:c>
      <x:c r="O67" s="11" t="str">
        <x:v>Passed for render</x:v>
      </x:c>
    </x:row>
    <x:row r="68">
      <x:c r="A68" s="10" t="str">
        <x:v>F067</x:v>
      </x:c>
      <x:c r="B68" s="10" t="str">
        <x:v>Briefings</x:v>
      </x:c>
      <x:c r="C68" s="10" t="str">
        <x:v>Coordinator briefing snapshot and generation</x:v>
      </x:c>
      <x:c r="D68" s="10" t="str">
        <x:v>As a meeting member, I want a structured cross-room briefing so the main meeting can see room highlights, risks, decisions needed, and next actions.</x:v>
      </x:c>
      <x:c r="E68" s="10" t="str">
        <x:v>Meeting member</x:v>
      </x:c>
      <x:c r="F68" s="10" t="str">
        <x:v>GET/POST /api/coordinator/briefing</x:v>
      </x:c>
      <x:c r="G68" s="10" t="str">
        <x:v>GET returns latest coordinator briefing and recent room briefings; POST creates ready room briefings for active non-meeting rooms, then a coordinator briefing with cross-room risks/decisions/actions, and logs audit.</x:v>
      </x:c>
      <x:c r="H68" s="10" t="str">
        <x:v>src/app/api/coordinator/briefing/route.ts; src/server/coordinator/coordinator-briefing-service.ts</x:v>
      </x:c>
      <x:c r="I68" s="10" t="str">
        <x:v>Implemented</x:v>
      </x:c>
      <x:c r="J68" s="10" t="str">
        <x:v>Unit Covered</x:v>
      </x:c>
      <x:c r="K68" s="10" t="str">
        <x:v>tests/unit/coordinator-briefing.test.ts</x:v>
      </x:c>
      <x:c r="L68" s="10" t="str">
        <x:v>Generate briefing with active tasks, pending imports, and overdue tasks; verify counts and audit.</x:v>
      </x:c>
      <x:c r="M68" s="10"/>
      <x:c r="N68" s="10" t="str">
        <x:v>No Defect</x:v>
      </x:c>
      <x:c r="O68" s="10" t="str">
        <x:v>Passed</x:v>
      </x:c>
    </x:row>
    <x:row r="69">
      <x:c r="A69" s="11" t="str">
        <x:v>F068</x:v>
      </x:c>
      <x:c r="B69" s="11" t="str">
        <x:v>Agents/Tools</x:v>
      </x:c>
      <x:c r="C69" s="11" t="str">
        <x:v>Managed-agent custom tool registry</x:v>
      </x:c>
      <x:c r="D69" s="11" t="str">
        <x:v>As a domain bot, I need safe backend tools instead of direct DB access.</x:v>
      </x:c>
      <x:c r="E69" s="11" t="str">
        <x:v>Agent</x:v>
      </x:c>
      <x:c r="F69" s="11" t="str">
        <x:v>Claude Managed Agents tool config</x:v>
      </x:c>
      <x:c r="G69" s="11" t="str">
        <x:v>Tool registry exposes read/search/list/share/task/memory-review capabilities as custom tools, flags risk/writes, and keeps memory writes behind review tooling.</x:v>
      </x:c>
      <x:c r="H69" s="11" t="str">
        <x:v>src/server/agents/tools/tool-registry.ts; src/server/agents/tools/execute-tool.ts; docs/AGENT_TOOLS.md</x:v>
      </x:c>
      <x:c r="I69" s="11" t="str">
        <x:v>Implemented</x:v>
      </x:c>
      <x:c r="J69" s="11" t="str">
        <x:v>Unit Covered</x:v>
      </x:c>
      <x:c r="K69" s="11" t="str">
        <x:v>tests/unit/tool-registry.test.ts</x:v>
      </x:c>
      <x:c r="L69" s="11" t="str">
        <x:v>Inspect tool configs and execute read/write tools through wrapper with permission checks.</x:v>
      </x:c>
      <x:c r="M69" s="11"/>
      <x:c r="N69" s="11" t="str">
        <x:v>No Defect</x:v>
      </x:c>
      <x:c r="O69" s="11" t="str">
        <x:v>Passed</x:v>
      </x:c>
    </x:row>
    <x:row r="70">
      <x:c r="A70" s="10" t="str">
        <x:v>F069</x:v>
      </x:c>
      <x:c r="B70" s="10" t="str">
        <x:v>Agents/Memory</x:v>
      </x:c>
      <x:c r="C70" s="10" t="str">
        <x:v>Domain memory and Claude memory attachments</x:v>
      </x:c>
      <x:c r="D70" s="10" t="str">
        <x:v>As a bot, I want room memory and pending context to shape responses without leaking data across rooms.</x:v>
      </x:c>
      <x:c r="E70" s="10" t="str">
        <x:v>Agent</x:v>
      </x:c>
      <x:c r="F70" s="10" t="str">
        <x:v>Agent startup context</x:v>
      </x:c>
      <x:c r="G70" s="10" t="str">
        <x:v>Memory service returns startup context, project observer context, read-only Claude memory resources, pending context append/process/update functions, and local domain_memory cache updates.</x:v>
      </x:c>
      <x:c r="H70" s="10" t="str">
        <x:v>src/server/memory/domain-memory-service.ts; src/server/agents/claude-managed-agent-adapter.ts</x:v>
      </x:c>
      <x:c r="I70" s="10" t="str">
        <x:v>Implemented</x:v>
      </x:c>
      <x:c r="J70" s="10" t="str">
        <x:v>Unit Covered</x:v>
      </x:c>
      <x:c r="K70" s="10" t="str">
        <x:v>tests/unit/domain-memory.test.ts; tests/unit/thread-context.test.ts</x:v>
      </x:c>
      <x:c r="L70" s="10" t="str">
        <x:v>Run memory attachment and pending context flow for a room and global development observer.</x:v>
      </x:c>
      <x:c r="M70" s="10"/>
      <x:c r="N70" s="10" t="str">
        <x:v>No Defect</x:v>
      </x:c>
      <x:c r="O70" s="10" t="str">
        <x:v>Passed</x:v>
      </x:c>
    </x:row>
    <x:row r="71">
      <x:c r="A71" s="11" t="str">
        <x:v>F070</x:v>
      </x:c>
      <x:c r="B71" s="11" t="str">
        <x:v>Security/Data</x:v>
      </x:c>
      <x:c r="C71" s="11" t="str">
        <x:v>Tenant-isolated list APIs</x:v>
      </x:c>
      <x:c r="D71" s="11" t="str">
        <x:v>As a user, I should not list shared items, meeting imports, files, tasks, or rooms outside my membership.</x:v>
      </x:c>
      <x:c r="E71" s="11" t="str">
        <x:v>Room member</x:v>
      </x:c>
      <x:c r="F71" s="11" t="str">
        <x:v>List APIs</x:v>
      </x:c>
      <x:c r="G71" s="11" t="str">
        <x:v>List routes require auth and membership filters; no-room list endpoints filter by user's room IDs; room-specific queries require room membership.</x:v>
      </x:c>
      <x:c r="H71" s="11" t="str">
        <x:v>src/server/auth/require-room-member.ts; src/app/api/shared-items/route.ts; src/app/api/meeting-imports/route.ts; src/app/api/tasks/route.ts; src/app/api/files/route.ts</x:v>
      </x:c>
      <x:c r="I71" s="11" t="str">
        <x:v>Implemented</x:v>
      </x:c>
      <x:c r="J71" s="11" t="str">
        <x:v>Unit Covered</x:v>
      </x:c>
      <x:c r="K71" s="11" t="str">
        <x:v>tests/unit/list-route-authorization.test.ts</x:v>
      </x:c>
      <x:c r="L71" s="11" t="str">
        <x:v>Run list routes with user who has meeting only and with work-room membership.</x:v>
      </x:c>
      <x:c r="M71" s="11"/>
      <x:c r="N71" s="11" t="str">
        <x:v>No Defect</x:v>
      </x:c>
      <x:c r="O71" s="11" t="str">
        <x:v>Passed</x:v>
      </x:c>
    </x:row>
    <x:row r="72">
      <x:c r="A72" s="10" t="str">
        <x:v>F071</x:v>
      </x:c>
      <x:c r="B72" s="10" t="str">
        <x:v>Security/Data</x:v>
      </x:c>
      <x:c r="C72" s="10" t="str">
        <x:v>Audit logging for major writes</x:v>
      </x:c>
      <x:c r="D72" s="10" t="str">
        <x:v>As an operator, I want major write operations recorded so sensitive student or organizational data changes are traceable.</x:v>
      </x:c>
      <x:c r="E72" s="10" t="str">
        <x:v>Operator</x:v>
      </x:c>
      <x:c r="F72" s="10" t="str">
        <x:v>Write services/routes</x:v>
      </x:c>
      <x:c r="G72" s="10" t="str">
        <x:v>Thread create/update, decisions, tasks, user/admin changes, video meetings, coordinator briefings, file/share/import actions, and profile updates write audit logs through store.</x:v>
      </x:c>
      <x:c r="H72" s="10" t="str">
        <x:v>src/server/audit/audit-service.ts; src/server/data/mock-store.ts; src/server/data/supabase-store.ts</x:v>
      </x:c>
      <x:c r="I72" s="10" t="str">
        <x:v>Implemented</x:v>
      </x:c>
      <x:c r="J72" s="10" t="str">
        <x:v>Representative Unit Covered</x:v>
      </x:c>
      <x:c r="K72" s="10" t="str">
        <x:v>tests/unit/file-upload-limits.test.ts; tests/unit/video-meeting-service.test.ts; existing write-flow tests</x:v>
      </x:c>
      <x:c r="L72" s="10" t="str">
        <x:v>Exercise representative write flows and verify audit_logs entries.</x:v>
      </x:c>
      <x:c r="M72" s="10"/>
      <x:c r="N72" s="10" t="str">
        <x:v>No Defect</x:v>
      </x:c>
      <x:c r="O72" s="10" t="str">
        <x:v>Representative audit paths passed</x:v>
      </x:c>
    </x:row>
    <x:row r="73">
      <x:c r="A73" s="11" t="str">
        <x:v>F072</x:v>
      </x:c>
      <x:c r="B73" s="11" t="str">
        <x:v>System/API</x:v>
      </x:c>
      <x:c r="C73" s="11" t="str">
        <x:v>JSON error response normalization</x:v>
      </x:c>
      <x:c r="D73" s="11" t="str">
        <x:v>As a client, I want API failures to return consistent status and message payloads.</x:v>
      </x:c>
      <x:c r="E73" s="11" t="str">
        <x:v>Client/UI</x:v>
      </x:c>
      <x:c r="F73" s="11" t="str">
        <x:v>All API routes through jsonError</x:v>
      </x:c>
      <x:c r="G73" s="11" t="str">
        <x:v>Known HttpError/AuthError/ForbiddenError map to intended status; generic errors become JSON error response without crashing callers.</x:v>
      </x:c>
      <x:c r="H73" s="11" t="str">
        <x:v>src/lib/api.ts; src/lib/http-error.ts; src/server/auth/errors.ts</x:v>
      </x:c>
      <x:c r="I73" s="11" t="str">
        <x:v>Implemented</x:v>
      </x:c>
      <x:c r="J73" s="11" t="str">
        <x:v>Unit Covered</x:v>
      </x:c>
      <x:c r="K73" s="11" t="str">
        <x:v>tests/unit/json-error.test.ts</x:v>
      </x:c>
      <x:c r="L73" s="11" t="str">
        <x:v>Throw known and unknown errors through route handler and verify response shape.</x:v>
      </x:c>
      <x:c r="M73" s="11"/>
      <x:c r="N73" s="11" t="str">
        <x:v>No Defect</x:v>
      </x:c>
      <x:c r="O73" s="11" t="str">
        <x:v>Passed</x:v>
      </x:c>
    </x:row>
  </x:sheetData>
  <x:dataValidations count="4">
    <x:dataValidation type="list" allowBlank="0" showDropDown="0" showInputMessage="0" showErrorMessage="0" sqref="I2:I73">
      <x:formula1>"Implemented,Implemented With UX Issue,API Implemented; UI Dormant,Dormant/Incomplete,Planned"</x:formula1>
    </x:dataValidation>
    <x:dataValidation type="list" allowBlank="0" showDropDown="0" showInputMessage="0" showErrorMessage="0" sqref="J2:J73">
      <x:formula1>"Not Started,Covered,Partially Covered,Unit Covered,Component Covered,Component/Unit Covered,Unit/Component Covered,Failed,Passed,Retest Passed"</x:formula1>
    </x:dataValidation>
    <x:dataValidation type="list" allowBlank="0" showDropDown="0" showInputMessage="0" showErrorMessage="0" sqref="N2:N73">
      <x:formula1>"Not Started,In Progress,Fixed,Won't Fix,N/A"</x:formula1>
    </x:dataValidation>
    <x:dataValidation type="list" allowBlank="0" showDropDown="0" showInputMessage="0" showErrorMessage="0" sqref="O2:O73">
      <x:formula1>"Not Started,Passed,Failed,N/A"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68d9ecb3349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3" customWidth="1"/>
    <x:col min="3" max="3" width="60" customWidth="1"/>
    <x:col min="4" max="4" width="12" customWidth="1"/>
    <x:col min="5" max="5" width="60" customWidth="1"/>
    <x:col min="6" max="6" width="60" customWidth="1"/>
    <x:col min="7" max="7" width="22" customWidth="1"/>
    <x:col min="8" max="8" width="15" customWidth="1"/>
  </x:cols>
  <x:sheetData>
    <x:row r="1" ht="28" customHeight="1">
      <x:c r="A1" s="39" t="str">
        <x:v>Story ID</x:v>
      </x:c>
      <x:c r="B1" s="39" t="str">
        <x:v>Test Type</x:v>
      </x:c>
      <x:c r="C1" s="39" t="str">
        <x:v>Command or Steps</x:v>
      </x:c>
      <x:c r="D1" s="39" t="str">
        <x:v>Result</x:v>
      </x:c>
      <x:c r="E1" s="39" t="str">
        <x:v>Evidence</x:v>
      </x:c>
      <x:c r="F1" s="39" t="str">
        <x:v>Errors Found</x:v>
      </x:c>
      <x:c r="G1" s="39" t="str">
        <x:v>Tested At</x:v>
      </x:c>
      <x:c r="H1" s="39" t="str">
        <x:v>Retest Result</x:v>
      </x:c>
    </x:row>
    <x:row r="2">
      <x:c r="A2" t="str">
        <x:v>ALL</x:v>
      </x:c>
      <x:c r="B2" t="str">
        <x:v>Automated</x:v>
      </x:c>
      <x:c r="C2" t="str">
        <x:v>pnpm lint</x:v>
      </x:c>
      <x:c r="D2" s="42" t="str">
        <x:v>Passed</x:v>
      </x:c>
      <x:c r="E2" t="str">
        <x:v>ESLint completed without errors.</x:v>
      </x:c>
      <x:c r="F2"/>
      <x:c r="G2" t="str">
        <x:v>2026-06-24 15:40 KST</x:v>
      </x:c>
      <x:c r="H2" s="42" t="str">
        <x:v>Passed</x:v>
      </x:c>
    </x:row>
    <x:row r="3">
      <x:c r="A3" t="str">
        <x:v>ALL</x:v>
      </x:c>
      <x:c r="B3" t="str">
        <x:v>Automated</x:v>
      </x:c>
      <x:c r="C3" t="str">
        <x:v>pnpm typecheck</x:v>
      </x:c>
      <x:c r="D3" s="42" t="str">
        <x:v>Passed</x:v>
      </x:c>
      <x:c r="E3" t="str">
        <x:v>tsc --noEmit completed without errors.</x:v>
      </x:c>
      <x:c r="F3"/>
      <x:c r="G3" t="str">
        <x:v>2026-06-24 15:40 KST</x:v>
      </x:c>
      <x:c r="H3" s="42" t="str">
        <x:v>Passed</x:v>
      </x:c>
    </x:row>
    <x:row r="4">
      <x:c r="A4" t="str">
        <x:v>ALL</x:v>
      </x:c>
      <x:c r="B4" t="str">
        <x:v>Automated</x:v>
      </x:c>
      <x:c r="C4" t="str">
        <x:v>pnpm test</x:v>
      </x:c>
      <x:c r="D4" s="42" t="str">
        <x:v>Passed</x:v>
      </x:c>
      <x:c r="E4" t="str">
        <x:v>Vitest: 34 files passed, 155 tests passed.</x:v>
      </x:c>
      <x:c r="F4"/>
      <x:c r="G4" t="str">
        <x:v>2026-06-24 15:40 KST</x:v>
      </x:c>
      <x:c r="H4" s="42" t="str">
        <x:v>Passed</x:v>
      </x:c>
    </x:row>
    <x:row r="5">
      <x:c r="A5" t="str">
        <x:v>ALL</x:v>
      </x:c>
      <x:c r="B5" t="str">
        <x:v>Browser/E2E</x:v>
      </x:c>
      <x:c r="C5" t="str">
        <x:v>pnpm test:e2e --workers=1 --reporter=list</x:v>
      </x:c>
      <x:c r="D5" s="42" t="str">
        <x:v>Passed</x:v>
      </x:c>
      <x:c r="E5" t="str">
        <x:v>Playwright smoke: 8 passed across chromium and mobile.</x:v>
      </x:c>
      <x:c r="F5" t="str">
        <x:v>Original smoke setup was out of sync with mock mode; tracked as D007 and fixed.</x:v>
      </x:c>
      <x:c r="G5" t="str">
        <x:v>2026-06-24 15:40 KST</x:v>
      </x:c>
      <x:c r="H5" s="42" t="str">
        <x:v>Passed</x:v>
      </x:c>
    </x:row>
    <x:row r="6">
      <x:c r="A6" t="str">
        <x:v>ALL</x:v>
      </x:c>
      <x:c r="B6" t="str">
        <x:v>Build</x:v>
      </x:c>
      <x:c r="C6" t="str">
        <x:v>pnpm build</x:v>
      </x:c>
      <x:c r="D6" s="42" t="str">
        <x:v>Passed</x:v>
      </x:c>
      <x:c r="E6" t="str">
        <x:v>Next build compiled successfully and generated 34 app pages.</x:v>
      </x:c>
      <x:c r="F6"/>
      <x:c r="G6" t="str">
        <x:v>2026-06-24 15:40 KST</x:v>
      </x:c>
      <x:c r="H6" s="42" t="str">
        <x:v>Passed</x:v>
      </x:c>
    </x:row>
    <x:row r="7">
      <x:c r="A7" t="str">
        <x:v>UI-FIX</x:v>
      </x:c>
      <x:c r="B7" t="str">
        <x:v>Browser</x:v>
      </x:c>
      <x:c r="C7" t="str">
        <x:v>Manual Playwright script against http://127.0.0.1:3137 for office, admin sidebar, meeting task dialog, video start dialog, and finance chat send.</x:v>
      </x:c>
      <x:c r="D7" s="42" t="str">
        <x:v>Passed</x:v>
      </x:c>
      <x:c r="E7" t="str">
        <x:v>Office/admin/meeting fixed flows passed; video default title rendered 6월 24일 회의; chat message displayed.</x:v>
      </x:c>
      <x:c r="F7"/>
      <x:c r="G7" t="str">
        <x:v>2026-06-24 15:17 KST</x:v>
      </x:c>
      <x:c r="H7" s="42" t="str">
        <x:v>Passed</x:v>
      </x:c>
    </x:row>
    <x:row r="8">
      <x:c r="A8" t="str">
        <x:v>TEST-INFRA</x:v>
      </x:c>
      <x:c r="B8" t="str">
        <x:v>Automated</x:v>
      </x:c>
      <x:c r="C8" t="str">
        <x:v>Initial pnpm test:e2e and incorrect pnpm argument run</x:v>
      </x:c>
      <x:c r="D8" s="42" t="str">
        <x:v>Fixed</x:v>
      </x:c>
      <x:c r="E8" t="str">
        <x:v>Config now starts Next in mock mode; smoke spec now matches mock redirect and exact heading.</x:v>
      </x:c>
      <x:c r="F8" t="str">
        <x:v>D007</x:v>
      </x:c>
      <x:c r="G8" t="str">
        <x:v>2026-06-24 15:17 KST</x:v>
      </x:c>
      <x:c r="H8" s="42" t="str">
        <x:v>Passed</x:v>
      </x:c>
    </x:row>
    <x:row r="9">
      <x:c r="A9" t="str">
        <x:v>COVERAGE-BATCH-2</x:v>
      </x:c>
      <x:c r="B9" t="str">
        <x:v>Automated</x:v>
      </x:c>
      <x:c r="C9" t="str">
        <x:v>pnpm exec vitest run tests/unit/auth-routes.test.ts tests/components/top-header.test.tsx tests/components/cards.test.tsx tests/components/room-interactions.test.tsx tests/components/message-bubble.test.tsx tests/components/admin-controls.test.tsx tests/unit/file-upload-limits.test.ts tests/unit/video-meeting-service.test.ts</x:v>
      </x:c>
      <x:c r="D9" t="str">
        <x:v>Passed</x:v>
      </x:c>
      <x:c r="E9" t="str">
        <x:v>Focused coverage batch: 8 files passed, 46 tests passed.</x:v>
      </x:c>
      <x:c r="F9"/>
      <x:c r="G9" t="str">
        <x:v>2026-06-24 15:30 KST</x:v>
      </x:c>
      <x:c r="H9" t="str">
        <x:v>Passed</x:v>
      </x:c>
    </x:row>
    <x:row r="10">
      <x:c r="A10" t="str">
        <x:v>DORMANT-FIX</x:v>
      </x:c>
      <x:c r="B10" t="str">
        <x:v>Automated</x:v>
      </x:c>
      <x:c r="C10" t="str">
        <x:v>pnpm exec vitest run tests/components/video-meeting.test.tsx; rg FileShareToMeetingButton -n src tests</x:v>
      </x:c>
      <x:c r="D10" t="str">
        <x:v>Passed</x:v>
      </x:c>
      <x:c r="E10" t="str">
        <x:v>Video meeting dormant-action regression passed: 1 file, 4 tests; obsolete FileShareToMeetingButton has no remaining references.</x:v>
      </x:c>
      <x:c r="F10"/>
      <x:c r="G10" t="str">
        <x:v>2026-06-24 15:37 KST</x:v>
      </x:c>
      <x:c r="H10" t="str">
        <x:v>Passed</x:v>
      </x:c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</x:sheetData>
  <x:pageMargins left="0.7" right="0.7" top="0.75" bottom="0.75" header="0.3" footer="0.3"/>
  <x:tableParts count="1">
    <x:tablePart xmlns:r="http://schemas.openxmlformats.org/officeDocument/2006/relationships" r:id="R0a698d168ee244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1" customWidth="1"/>
    <x:col min="5" max="5" width="60" customWidth="1"/>
    <x:col min="6" max="6" width="60" customWidth="1"/>
    <x:col min="7" max="7" width="60" customWidth="1"/>
    <x:col min="8" max="8" width="17" customWidth="1"/>
    <x:col min="9" max="9" width="60" customWidth="1"/>
    <x:col min="10" max="10" width="22" customWidth="1"/>
    <x:col min="11" max="11" width="19" customWidth="1"/>
    <x:col min="12" max="12" width="60" customWidth="1"/>
  </x:cols>
  <x:sheetData>
    <x:row r="1" ht="28" customHeight="1">
      <x:c r="A1" s="39" t="str">
        <x:v>Defect ID</x:v>
      </x:c>
      <x:c r="B1" s="39" t="str">
        <x:v>Story IDs</x:v>
      </x:c>
      <x:c r="C1" s="39" t="str">
        <x:v>Priority</x:v>
      </x:c>
      <x:c r="D1" s="39" t="str">
        <x:v>Category</x:v>
      </x:c>
      <x:c r="E1" s="39" t="str">
        <x:v>Title</x:v>
      </x:c>
      <x:c r="F1" s="39" t="str">
        <x:v>Observed</x:v>
      </x:c>
      <x:c r="G1" s="39" t="str">
        <x:v>Expected</x:v>
      </x:c>
      <x:c r="H1" s="39" t="str">
        <x:v>Status</x:v>
      </x:c>
      <x:c r="I1" s="39" t="str">
        <x:v>Code References</x:v>
      </x:c>
      <x:c r="J1" s="39" t="str">
        <x:v>Source</x:v>
      </x:c>
      <x:c r="K1" s="39" t="str">
        <x:v>Retest Status</x:v>
      </x:c>
      <x:c r="L1" s="39" t="str">
        <x:v>Fix Notes</x:v>
      </x:c>
    </x:row>
    <x:row r="2">
      <x:c r="A2" s="10" t="str">
        <x:v>D001</x:v>
      </x:c>
      <x:c r="B2" s="10" t="str">
        <x:v>F052</x:v>
      </x:c>
      <x:c r="C2" s="10" t="str">
        <x:v>P3</x:v>
      </x:c>
      <x:c r="D2" s="10" t="str">
        <x:v>UX</x:v>
      </x:c>
      <x:c r="E2" s="10" t="str">
        <x:v>Video meeting default title is stale</x:v>
      </x:c>
      <x:c r="F2" s="10" t="str">
        <x:v>Start dialog defaults to '5월 정기 회의' even though the current audit date is 2026-06-24.</x:v>
      </x:c>
      <x:c r="G2" s="10" t="str">
        <x:v>Default meeting title should not be tied to a stale month; it should be neutral or date-derived.</x:v>
      </x:c>
      <x:c r="H2" s="40" t="str">
        <x:v>Fixed</x:v>
      </x:c>
      <x:c r="I2" s="10" t="str">
        <x:v>src/components/video-meetings/VideoMeetingStartDialog.tsx</x:v>
      </x:c>
      <x:c r="J2" s="10" t="str">
        <x:v>Code review</x:v>
      </x:c>
      <x:c r="K2" s="40" t="str">
        <x:v>Passed</x:v>
      </x:c>
      <x:c r="L2" s="10" t="str">
        <x:v>Default meeting title is generated from the current Asia/Seoul date; component and browser retests passed.</x:v>
      </x:c>
    </x:row>
    <x:row r="3">
      <x:c r="A3" s="11" t="str">
        <x:v>D002</x:v>
      </x:c>
      <x:c r="B3" s="11" t="str">
        <x:v>F008</x:v>
      </x:c>
      <x:c r="C3" s="11" t="str">
        <x:v>P2</x:v>
      </x:c>
      <x:c r="D3" s="11" t="str">
        <x:v>UX</x:v>
      </x:c>
      <x:c r="E3" s="11" t="str">
        <x:v>Sidebar always marks meeting link active</x:v>
      </x:c>
      <x:c r="F3" s="11" t="str">
        <x:v>SidebarPanel receives no current route and passes active to the meeting link unconditionally.</x:v>
      </x:c>
      <x:c r="G3" s="11" t="str">
        <x:v>Only the current room/link should show active styling.</x:v>
      </x:c>
      <x:c r="H3" s="40" t="str">
        <x:v>Fixed</x:v>
      </x:c>
      <x:c r="I3" s="11" t="str">
        <x:v>src/components/layout/SidebarPanel.tsx; src/components/layout/AppShell.tsx</x:v>
      </x:c>
      <x:c r="J3" s="11" t="str">
        <x:v>Code review</x:v>
      </x:c>
      <x:c r="K3" s="40" t="str">
        <x:v>Passed</x:v>
      </x:c>
      <x:c r="L3" s="11" t="str">
        <x:v>AppShell passes activeRoomId and SidebarPanel only highlights the explicit active room; component and browser retests passed.</x:v>
      </x:c>
    </x:row>
    <x:row r="4">
      <x:c r="A4" s="10" t="str">
        <x:v>D003</x:v>
      </x:c>
      <x:c r="B4" s="10" t="str">
        <x:v>F049,F050</x:v>
      </x:c>
      <x:c r="C4" s="10" t="str">
        <x:v>P3</x:v>
      </x:c>
      <x:c r="D4" s="10" t="str">
        <x:v>UX</x:v>
      </x:c>
      <x:c r="E4" s="10" t="str">
        <x:v>Research-association room names get an extra 방 suffix in task UI</x:v>
      </x:c>
      <x:c r="F4" s="10" t="str">
        <x:v>DecisionTaskPanel displayRoomName handles names ending in 방 or 실 but not 연구회, so project rooms such as 경기도교육연구회 can render as 경기도교육연구회방.</x:v>
      </x:c>
      <x:c r="G4" s="10" t="str">
        <x:v>Names ending in 연구회 should be displayed as-is, consistent with file sharing UI.</x:v>
      </x:c>
      <x:c r="H4" s="40" t="str">
        <x:v>Fixed</x:v>
      </x:c>
      <x:c r="I4" s="10" t="str">
        <x:v>src/components/rooms/DecisionTaskPanel.tsx</x:v>
      </x:c>
      <x:c r="J4" s="10" t="str">
        <x:v>Code review</x:v>
      </x:c>
      <x:c r="K4" s="40" t="str">
        <x:v>Passed</x:v>
      </x:c>
      <x:c r="L4" s="10" t="str">
        <x:v>Task room-name formatter now leaves names ending in 연구회 unchanged; browser retest passed.</x:v>
      </x:c>
    </x:row>
    <x:row r="5">
      <x:c r="A5" s="11" t="str">
        <x:v>D004</x:v>
      </x:c>
      <x:c r="B5" s="11" t="str">
        <x:v>F040</x:v>
      </x:c>
      <x:c r="C5" s="11" t="str">
        <x:v>P3</x:v>
      </x:c>
      <x:c r="D5" s="11" t="str">
        <x:v>UX</x:v>
      </x:c>
      <x:c r="E5" s="11" t="str">
        <x:v>Shared-item import dialog may add 방 suffix to research-association rooms</x:v>
      </x:c>
      <x:c r="F5" s="11" t="str">
        <x:v>SharedItemCard displayRoomName handles 방 and 실 only, while FileList handles 연구회 too.</x:v>
      </x:c>
      <x:c r="G5" s="11" t="str">
        <x:v>Meeting import target labels should display research-association names as-is.</x:v>
      </x:c>
      <x:c r="H5" s="40" t="str">
        <x:v>Fixed</x:v>
      </x:c>
      <x:c r="I5" s="11" t="str">
        <x:v>src/components/meeting/SharedItemCard.tsx</x:v>
      </x:c>
      <x:c r="J5" s="11" t="str">
        <x:v>Code review</x:v>
      </x:c>
      <x:c r="K5" s="40" t="str">
        <x:v>Passed</x:v>
      </x:c>
      <x:c r="L5" s="11" t="str">
        <x:v>Shared-item import room-name formatter now leaves names ending in 연구회 unchanged; component coverage added.</x:v>
      </x:c>
    </x:row>
    <x:row r="6">
      <x:c r="A6" s="10" t="str">
        <x:v>D005</x:v>
      </x:c>
      <x:c r="B6" s="10" t="str">
        <x:v>F044</x:v>
      </x:c>
      <x:c r="C6" s="10" t="str">
        <x:v>P4</x:v>
      </x:c>
      <x:c r="D6" s="10" t="str">
        <x:v>Logistical</x:v>
      </x:c>
      <x:c r="E6" s="10" t="str">
        <x:v>Single-file share-to-meeting component is dormant</x:v>
      </x:c>
      <x:c r="F6" s="10" t="str">
        <x:v>FileShareToMeetingButton implements an older one-file meeting share flow but is not referenced by mounted FileList.</x:v>
      </x:c>
      <x:c r="G6" s="10" t="str">
        <x:v>Dormant code should be removed, mounted intentionally, or tracked as future UI to avoid misleading maintenance.</x:v>
      </x:c>
      <x:c r="H6" s="41" t="str">
        <x:v>Fixed</x:v>
      </x:c>
      <x:c r="I6" s="10" t="str">
        <x:v>src/components/files/FileShareToMeetingButton.tsx; src/components/files/FileList.tsx</x:v>
      </x:c>
      <x:c r="J6" s="10" t="str">
        <x:v>Code review</x:v>
      </x:c>
      <x:c r="K6" s="41" t="str">
        <x:v>Passed</x:v>
      </x:c>
      <x:c r="L6" s="10" t="str">
        <x:v>Removed obsolete unmounted FileShareToMeetingButton; active FileList multi-room sharing remains covered.</x:v>
      </x:c>
    </x:row>
    <x:row r="7">
      <x:c r="A7" s="11" t="str">
        <x:v>D006</x:v>
      </x:c>
      <x:c r="B7" s="11" t="str">
        <x:v>F058,F061</x:v>
      </x:c>
      <x:c r="C7" s="11" t="str">
        <x:v>P3</x:v>
      </x:c>
      <x:c r="D7" s="11" t="str">
        <x:v>UX</x:v>
      </x:c>
      <x:c r="E7" s="11" t="str">
        <x:v>Meeting artifact/summary action buttons are inert if mounted</x:v>
      </x:c>
      <x:c r="F7" s="11" t="str">
        <x:v>VideoMeetingArtifactCard and CreateDecisionTaskFromSummary render buttons without handlers, and related components are not mounted.</x:v>
      </x:c>
      <x:c r="G7" s="11" t="str">
        <x:v>Buttons should either perform actions, be disabled with unavailable state, or remain unmounted until implemented.</x:v>
      </x:c>
      <x:c r="H7" s="41" t="str">
        <x:v>Fixed</x:v>
      </x:c>
      <x:c r="I7" s="11" t="str">
        <x:v>src/components/video-meetings/VideoMeetingArtifactCard.tsx; src/components/video-meetings/CreateDecisionTaskFromSummary.tsx</x:v>
      </x:c>
      <x:c r="J7" s="11" t="str">
        <x:v>Code review</x:v>
      </x:c>
      <x:c r="K7" s="41" t="str">
        <x:v>Passed</x:v>
      </x:c>
      <x:c r="L7" s="11" t="str">
        <x:v>Dormant artifact/summary conversion buttons now render disabled until handlers are implemented; component regression coverage added.</x:v>
      </x:c>
    </x:row>
    <x:row r="8">
      <x:c r="A8" t="str">
        <x:v>D007</x:v>
      </x:c>
      <x:c r="B8" t="str">
        <x:v>TEST-E2E</x:v>
      </x:c>
      <x:c r="C8" t="str">
        <x:v>P3</x:v>
      </x:c>
      <x:c r="D8" t="str">
        <x:v>Test Infrastructure</x:v>
      </x:c>
      <x:c r="E8" t="str">
        <x:v>Playwright smoke suite was out of sync with mock mode</x:v>
      </x:c>
      <x:c r="F8" t="str">
        <x:v>Mock-mode e2e expected the login page to render even though mock auth redirects authenticated users to /office; meeting heading selector also matched multiple headings.</x:v>
      </x:c>
      <x:c r="G8" t="str">
        <x:v>Smoke suite should run deterministically in mock mode on desktop and mobile projects.</x:v>
      </x:c>
      <x:c r="H8" s="42" t="str">
        <x:v>Fixed</x:v>
      </x:c>
      <x:c r="I8" t="str">
        <x:v>playwright.config.ts; tests/e2e/smoke.spec.ts</x:v>
      </x:c>
      <x:c r="J8" t="str">
        <x:v>Automated e2e retest</x:v>
      </x:c>
      <x:c r="K8" s="42" t="str">
        <x:v>Passed</x:v>
      </x:c>
      <x:c r="L8" t="str">
        <x:v>Web server command now enables NEXT_PUBLIC_USE_MOCK_DATA; root/login smoke asserts mock redirect; meeting heading assertion uses exact matching. Retest passed: 8 Playwright checks.</x:v>
      </x:c>
    </x:row>
  </x:sheetData>
  <x:dataValidations count="3">
    <x:dataValidation type="list" allowBlank="0" showDropDown="0" showInputMessage="0" showErrorMessage="0" sqref="C2:C7">
      <x:formula1>"P0,P1,P2,P3,P4"</x:formula1>
    </x:dataValidation>
    <x:dataValidation type="list" allowBlank="0" showDropDown="0" showInputMessage="0" showErrorMessage="0" sqref="H2:H7">
      <x:formula1>"Open,Fixed,Won't Fix,Verified"</x:formula1>
    </x:dataValidation>
    <x:dataValidation type="list" allowBlank="0" showDropDown="0" showInputMessage="0" showErrorMessage="0" sqref="K2:K7">
      <x:formula1>"Not Started,Passed,Failed,N/A"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914e0c6a5e42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1" customWidth="1"/>
    <x:col min="3" max="3" width="60" customWidth="1"/>
    <x:col min="4" max="4" width="60" customWidth="1"/>
    <x:col min="5" max="5" width="60" customWidth="1"/>
  </x:cols>
  <x:sheetData>
    <x:row r="1" ht="28" customHeight="1">
      <x:c r="A1" s="39" t="str">
        <x:v>ID</x:v>
      </x:c>
      <x:c r="B1" s="39" t="str">
        <x:v>Item</x:v>
      </x:c>
      <x:c r="C1" s="39" t="str">
        <x:v>Code Reference</x:v>
      </x:c>
      <x:c r="D1" s="39" t="str">
        <x:v>Current State</x:v>
      </x:c>
      <x:c r="E1" s="39" t="str">
        <x:v>Recommended Handling</x:v>
      </x:c>
    </x:row>
    <x:row r="2">
      <x:c r="A2" s="10" t="str">
        <x:v>B002</x:v>
      </x:c>
      <x:c r="B2" s="10" t="str">
        <x:v>MeetingSummaryReview</x:v>
      </x:c>
      <x:c r="C2" s="10" t="str">
        <x:v>src/components/video-meetings/MeetingSummaryReview.tsx</x:v>
      </x:c>
      <x:c r="D2" s="10" t="str">
        <x:v>Presentational card only and not mounted.</x:v>
      </x:c>
      <x:c r="E2" s="10" t="str">
        <x:v>Mount in a meeting artifacts workflow or remove until needed.</x:v>
      </x:c>
    </x:row>
    <x:row r="3">
      <x:c r="A3" s="11" t="str">
        <x:v>B003</x:v>
      </x:c>
      <x:c r="B3" s="11" t="str">
        <x:v>CreateDecisionTaskFromSummary</x:v>
      </x:c>
      <x:c r="C3" s="11" t="str">
        <x:v>src/components/video-meetings/CreateDecisionTaskFromSummary.tsx</x:v>
      </x:c>
      <x:c r="D3" s="11" t="str">
        <x:v>Not mounted; conversion buttons are disabled until decision/task/import handlers are wired.</x:v>
      </x:c>
      <x:c r="E3" s="11" t="str">
        <x:v>Wire to decisions/tasks/import APIs before enabling these controls.</x:v>
      </x:c>
    </x:row>
    <x:row r="4">
      <x:c r="A4" s="10" t="str">
        <x:v>B004</x:v>
      </x:c>
      <x:c r="B4" s="10" t="str">
        <x:v>VideoMeetingArtifactCard</x:v>
      </x:c>
      <x:c r="C4" s="10" t="str">
        <x:v>src/components/video-meetings/VideoMeetingArtifactCard.tsx</x:v>
      </x:c>
      <x:c r="D4" s="10" t="str">
        <x:v>Not mounted; artifact conversion buttons render disabled until handlers are wired.</x:v>
      </x:c>
      <x:c r="E4" s="10" t="str">
        <x:v>Add handlers when meeting artifact review UI is built, then enable the controls.</x:v>
      </x:c>
    </x:row>
    <x:row r="5">
      <x:c r="A5" s="11" t="str">
        <x:v>B005</x:v>
      </x:c>
      <x:c r="B5" s="11" t="str">
        <x:v>ZoomMeetingEmbed</x:v>
      </x:c>
      <x:c r="C5" s="11" t="str">
        <x:v>src/components/video-meetings/ZoomMeetingEmbed.tsx</x:v>
      </x:c>
      <x:c r="D5" s="11" t="str">
        <x:v>Placeholder card, not mounted.</x:v>
      </x:c>
      <x:c r="E5" s="11" t="str">
        <x:v>Only mount after Meeting SDK flow is implemented and gated.</x:v>
      </x:c>
    </x:row>
    <x:row r="6">
      <x:c r="A6" s="10" t="str">
        <x:v>B006</x:v>
      </x:c>
      <x:c r="B6" s="10" t="str">
        <x:v>ZoomFallbackCard</x:v>
      </x:c>
      <x:c r="C6" s="10" t="str">
        <x:v>src/components/video-meetings/ZoomFallbackCard.tsx</x:v>
      </x:c>
      <x:c r="D6" s="10" t="str">
        <x:v>Fallback card, not mounted.</x:v>
      </x:c>
      <x:c r="E6" s="10" t="str">
        <x:v>Use with Zoom embed when enabled.</x:v>
      </x:c>
    </x:row>
    <x:row r="7">
      <x:c r="A7" s="11"/>
      <x:c r="B7" s="11"/>
      <x:c r="C7" s="11"/>
      <x:c r="D7" s="11"/>
      <x:c r="E7" s="11"/>
    </x:row>
  </x:sheetData>
  <x:pageMargins left="0.7" right="0.7" top="0.75" bottom="0.75" header="0.3" footer="0.3"/>
  <x:tableParts count="1">
    <x:tablePart xmlns:r="http://schemas.openxmlformats.org/officeDocument/2006/relationships" r:id="R02e51a53f7ca41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17" customWidth="1"/>
    <x:col min="3" max="3" width="21" customWidth="1"/>
    <x:col min="4" max="4" width="49" customWidth="1"/>
    <x:col min="5" max="5" width="58" customWidth="1"/>
  </x:cols>
  <x:sheetData>
    <x:row r="1" ht="28" customHeight="1">
      <x:c r="A1" s="39" t="inlineStr">
        <x:is>
          <x:t xml:space="preserve">Route or Surface</x:t>
        </x:is>
      </x:c>
      <x:c r="B1" s="39" t="inlineStr">
        <x:is>
          <x:t xml:space="preserve">Method</x:t>
        </x:is>
      </x:c>
      <x:c r="C1" s="39" t="inlineStr">
        <x:is>
          <x:t xml:space="preserve">Primary Feature IDs</x:t>
        </x:is>
      </x:c>
      <x:c r="D1" s="39" t="inlineStr">
        <x:is>
          <x:t xml:space="preserve">Auth Gate</x:t>
        </x:is>
      </x:c>
      <x:c r="E1" s="39" t="inlineStr">
        <x:is>
          <x:t xml:space="preserve">Expected Result</x:t>
        </x:is>
      </x:c>
    </x:row>
    <x:row r="2">
      <x:c r="A2" s="10" t="inlineStr">
        <x:is>
          <x:t xml:space="preserve">/</x:t>
        </x:is>
      </x:c>
      <x:c r="B2" s="10" t="inlineStr">
        <x:is>
          <x:t xml:space="preserve">GET</x:t>
        </x:is>
      </x:c>
      <x:c r="C2" s="10" t="inlineStr">
        <x:is>
          <x:t xml:space="preserve">F001</x:t>
        </x:is>
      </x:c>
      <x:c r="D2" s="10" t="inlineStr">
        <x:is>
          <x:t xml:space="preserve">Current user optional</x:t>
        </x:is>
      </x:c>
      <x:c r="E2" s="10" t="inlineStr">
        <x:is>
          <x:t xml:space="preserve">Redirects to /office or /login.</x:t>
        </x:is>
      </x:c>
    </x:row>
    <x:row r="3">
      <x:c r="A3" s="11" t="inlineStr">
        <x:is>
          <x:t xml:space="preserve">/login</x:t>
        </x:is>
      </x:c>
      <x:c r="B3" s="11" t="inlineStr">
        <x:is>
          <x:t xml:space="preserve">GET</x:t>
        </x:is>
      </x:c>
      <x:c r="C3" s="11" t="inlineStr">
        <x:is>
          <x:t xml:space="preserve">F002</x:t>
        </x:is>
      </x:c>
      <x:c r="D3" s="11" t="inlineStr">
        <x:is>
          <x:t xml:space="preserve">Redirects authenticated user</x:t>
        </x:is>
      </x:c>
      <x:c r="E3" s="11" t="inlineStr">
        <x:is>
          <x:t xml:space="preserve">Shows login actions and error messaging.</x:t>
        </x:is>
      </x:c>
    </x:row>
    <x:row r="4">
      <x:c r="A4" s="10" t="inlineStr">
        <x:is>
          <x:t xml:space="preserve">/auth/login</x:t>
        </x:is>
      </x:c>
      <x:c r="B4" s="10" t="inlineStr">
        <x:is>
          <x:t xml:space="preserve">GET</x:t>
        </x:is>
      </x:c>
      <x:c r="C4" s="10" t="inlineStr">
        <x:is>
          <x:t xml:space="preserve">F003</x:t>
        </x:is>
      </x:c>
      <x:c r="D4" s="10" t="inlineStr">
        <x:is>
          <x:t xml:space="preserve">Mock bypass or Supabase OAuth</x:t>
        </x:is>
      </x:c>
      <x:c r="E4" s="10" t="inlineStr">
        <x:is>
          <x:t xml:space="preserve">Starts Google OAuth or redirects to office in mock mode.</x:t>
        </x:is>
      </x:c>
    </x:row>
    <x:row r="5">
      <x:c r="A5" s="11" t="inlineStr">
        <x:is>
          <x:t xml:space="preserve">/auth/callback</x:t>
        </x:is>
      </x:c>
      <x:c r="B5" s="11" t="inlineStr">
        <x:is>
          <x:t xml:space="preserve">GET</x:t>
        </x:is>
      </x:c>
      <x:c r="C5" s="11" t="inlineStr">
        <x:is>
          <x:t xml:space="preserve">F003</x:t>
        </x:is>
      </x:c>
      <x:c r="D5" s="11" t="inlineStr">
        <x:is>
          <x:t xml:space="preserve">OAuth callback</x:t>
        </x:is>
      </x:c>
      <x:c r="E5" s="11" t="inlineStr">
        <x:is>
          <x:t xml:space="preserve">Onboards approved user or redirects with error.</x:t>
        </x:is>
      </x:c>
    </x:row>
    <x:row r="6">
      <x:c r="A6" s="10" t="inlineStr">
        <x:is>
          <x:t xml:space="preserve">/auth/dev-login</x:t>
        </x:is>
      </x:c>
      <x:c r="B6" s="10" t="inlineStr">
        <x:is>
          <x:t xml:space="preserve">GET</x:t>
        </x:is>
      </x:c>
      <x:c r="C6" s="10" t="inlineStr">
        <x:is>
          <x:t xml:space="preserve">F004</x:t>
        </x:is>
      </x:c>
      <x:c r="D6" s="10" t="inlineStr">
        <x:is>
          <x:t xml:space="preserve">Host/env enabled</x:t>
        </x:is>
      </x:c>
      <x:c r="E6" s="10" t="inlineStr">
        <x:is>
          <x:t xml:space="preserve">Sets app session for configured dev user.</x:t>
        </x:is>
      </x:c>
    </x:row>
    <x:row r="7">
      <x:c r="A7" s="11" t="inlineStr">
        <x:is>
          <x:t xml:space="preserve">/logout</x:t>
        </x:is>
      </x:c>
      <x:c r="B7" s="11" t="inlineStr">
        <x:is>
          <x:t xml:space="preserve">GET</x:t>
        </x:is>
      </x:c>
      <x:c r="C7" s="11" t="inlineStr">
        <x:is>
          <x:t xml:space="preserve">F005</x:t>
        </x:is>
      </x:c>
      <x:c r="D7" s="11" t="inlineStr">
        <x:is>
          <x:t xml:space="preserve">No hard auth requirement</x:t>
        </x:is>
      </x:c>
      <x:c r="E7" s="11" t="inlineStr">
        <x:is>
          <x:t xml:space="preserve">Clears session and redirects to login.</x:t>
        </x:is>
      </x:c>
    </x:row>
    <x:row r="8">
      <x:c r="A8" s="10" t="inlineStr">
        <x:is>
          <x:t xml:space="preserve">/office</x:t>
        </x:is>
      </x:c>
      <x:c r="B8" s="10" t="inlineStr">
        <x:is>
          <x:t xml:space="preserve">GET</x:t>
        </x:is>
      </x:c>
      <x:c r="C8" s="10" t="inlineStr">
        <x:is>
          <x:t xml:space="preserve">F010,F011,F012</x:t>
        </x:is>
      </x:c>
      <x:c r="D8" s="10" t="inlineStr">
        <x:is>
          <x:t xml:space="preserve">requireUser</x:t>
        </x:is>
      </x:c>
      <x:c r="E8" s="10" t="inlineStr">
        <x:is>
          <x:t xml:space="preserve">Renders office map and side panel.</x:t>
        </x:is>
      </x:c>
    </x:row>
    <x:row r="9">
      <x:c r="A9" s="11" t="inlineStr">
        <x:is>
          <x:t xml:space="preserve">/rooms/{roomId}</x:t>
        </x:is>
      </x:c>
      <x:c r="B9" s="11" t="inlineStr">
        <x:is>
          <x:t xml:space="preserve">GET</x:t>
        </x:is>
      </x:c>
      <x:c r="C9" s="11" t="inlineStr">
        <x:is>
          <x:t xml:space="preserve">F013-F050,F060</x:t>
        </x:is>
      </x:c>
      <x:c r="D9" s="11" t="inlineStr">
        <x:is>
          <x:t xml:space="preserve">requireUser + requireRoomMember</x:t>
        </x:is>
      </x:c>
      <x:c r="E9" s="11" t="inlineStr">
        <x:is>
          <x:t xml:space="preserve">Renders room workspace for active room.</x:t>
        </x:is>
      </x:c>
    </x:row>
    <x:row r="10">
      <x:c r="A10" s="10" t="inlineStr">
        <x:is>
          <x:t xml:space="preserve">/admin</x:t>
        </x:is>
      </x:c>
      <x:c r="B10" s="10" t="inlineStr">
        <x:is>
          <x:t xml:space="preserve">GET</x:t>
        </x:is>
      </x:c>
      <x:c r="C10" s="10" t="inlineStr">
        <x:is>
          <x:t xml:space="preserve">F062-F065</x:t>
        </x:is>
      </x:c>
      <x:c r="D10" s="10" t="inlineStr">
        <x:is>
          <x:t xml:space="preserve">requireAdmin</x:t>
        </x:is>
      </x:c>
      <x:c r="E10" s="10" t="inlineStr">
        <x:is>
          <x:t xml:space="preserve">Renders admin dashboard.</x:t>
        </x:is>
      </x:c>
    </x:row>
    <x:row r="11">
      <x:c r="A11" s="11" t="inlineStr">
        <x:is>
          <x:t xml:space="preserve">/admin/ops</x:t>
        </x:is>
      </x:c>
      <x:c r="B11" s="11" t="inlineStr">
        <x:is>
          <x:t xml:space="preserve">GET</x:t>
        </x:is>
      </x:c>
      <x:c r="C11" s="11" t="inlineStr">
        <x:is>
          <x:t xml:space="preserve">F066</x:t>
        </x:is>
      </x:c>
      <x:c r="D11" s="11" t="inlineStr">
        <x:is>
          <x:t xml:space="preserve">requireAdmin</x:t>
        </x:is>
      </x:c>
      <x:c r="E11" s="11" t="inlineStr">
        <x:is>
          <x:t xml:space="preserve">Renders operations dashboard.</x:t>
        </x:is>
      </x:c>
    </x:row>
    <x:row r="12">
      <x:c r="A12" s="10" t="inlineStr">
        <x:is>
          <x:t xml:space="preserve">/api/rooms/{roomId}/messages</x:t>
        </x:is>
      </x:c>
      <x:c r="B12" s="10" t="inlineStr">
        <x:is>
          <x:t xml:space="preserve">GET/POST</x:t>
        </x:is>
      </x:c>
      <x:c r="C12" s="10" t="inlineStr">
        <x:is>
          <x:t xml:space="preserve">F019,F020</x:t>
        </x:is>
      </x:c>
      <x:c r="D12" s="10" t="inlineStr">
        <x:is>
          <x:t xml:space="preserve">requireUser + room membership/write via service</x:t>
        </x:is>
      </x:c>
      <x:c r="E12" s="10" t="inlineStr">
        <x:is>
          <x:t xml:space="preserve">Lists or creates room messages.</x:t>
        </x:is>
      </x:c>
    </x:row>
    <x:row r="13">
      <x:c r="A13" s="11" t="inlineStr">
        <x:is>
          <x:t xml:space="preserve">/api/rooms/{roomId}/threads</x:t>
        </x:is>
      </x:c>
      <x:c r="B13" s="11" t="inlineStr">
        <x:is>
          <x:t xml:space="preserve">GET/POST</x:t>
        </x:is>
      </x:c>
      <x:c r="C13" s="11" t="inlineStr">
        <x:is>
          <x:t xml:space="preserve">F015,F016</x:t>
        </x:is>
      </x:c>
      <x:c r="D13" s="11" t="inlineStr">
        <x:is>
          <x:t xml:space="preserve">requireUser + room membership</x:t>
        </x:is>
      </x:c>
      <x:c r="E13" s="11" t="inlineStr">
        <x:is>
          <x:t xml:space="preserve">Lists or creates room threads.</x:t>
        </x:is>
      </x:c>
    </x:row>
    <x:row r="14">
      <x:c r="A14" s="10" t="inlineStr">
        <x:is>
          <x:t xml:space="preserve">/api/rooms/{roomId}/threads/{threadId}</x:t>
        </x:is>
      </x:c>
      <x:c r="B14" s="10" t="inlineStr">
        <x:is>
          <x:t xml:space="preserve">PATCH</x:t>
        </x:is>
      </x:c>
      <x:c r="C14" s="10" t="inlineStr">
        <x:is>
          <x:t xml:space="preserve">F017</x:t>
        </x:is>
      </x:c>
      <x:c r="D14" s="10" t="inlineStr">
        <x:is>
          <x:t xml:space="preserve">requireUser + room membership</x:t>
        </x:is>
      </x:c>
      <x:c r="E14" s="10" t="inlineStr">
        <x:is>
          <x:t xml:space="preserve">Updates thread metadata.</x:t>
        </x:is>
      </x:c>
    </x:row>
    <x:row r="15">
      <x:c r="A15" s="11" t="inlineStr">
        <x:is>
          <x:t xml:space="preserve">/api/rooms/{roomId}/agent-runs</x:t>
        </x:is>
      </x:c>
      <x:c r="B15" s="11" t="inlineStr">
        <x:is>
          <x:t xml:space="preserve">POST</x:t>
        </x:is>
      </x:c>
      <x:c r="C15" s="11" t="inlineStr">
        <x:is>
          <x:t xml:space="preserve">F021-F024</x:t>
        </x:is>
      </x:c>
      <x:c r="D15" s="11" t="inlineStr">
        <x:is>
          <x:t xml:space="preserve">requireUser + service checks</x:t>
        </x:is>
      </x:c>
      <x:c r="E15" s="11" t="inlineStr">
        <x:is>
          <x:t xml:space="preserve">Starts agent run and schedules completion.</x:t>
        </x:is>
      </x:c>
    </x:row>
    <x:row r="16">
      <x:c r="A16" s="10" t="inlineStr">
        <x:is>
          <x:t xml:space="preserve">/api/rooms/{roomId}/agent-runs/{runId}</x:t>
        </x:is>
      </x:c>
      <x:c r="B16" s="10" t="inlineStr">
        <x:is>
          <x:t xml:space="preserve">GET/DELETE</x:t>
        </x:is>
      </x:c>
      <x:c r="C16" s="10" t="inlineStr">
        <x:is>
          <x:t xml:space="preserve">F024</x:t>
        </x:is>
      </x:c>
      <x:c r="D16" s="10" t="inlineStr">
        <x:is>
          <x:t xml:space="preserve">requireUser + run access</x:t>
        </x:is>
      </x:c>
      <x:c r="E16" s="10" t="inlineStr">
        <x:is>
          <x:t xml:space="preserve">Reads or cancels agent run.</x:t>
        </x:is>
      </x:c>
    </x:row>
    <x:row r="17">
      <x:c r="A17" s="11" t="inlineStr">
        <x:is>
          <x:t xml:space="preserve">/api/files</x:t>
        </x:is>
      </x:c>
      <x:c r="B17" s="11" t="inlineStr">
        <x:is>
          <x:t xml:space="preserve">GET/POST/DELETE</x:t>
        </x:is>
      </x:c>
      <x:c r="C17" s="11" t="inlineStr">
        <x:is>
          <x:t xml:space="preserve">F031-F033</x:t>
        </x:is>
      </x:c>
      <x:c r="D17" s="11" t="inlineStr">
        <x:is>
          <x:t xml:space="preserve">requireUser + file/room service checks</x:t>
        </x:is>
      </x:c>
      <x:c r="E17" s="11" t="inlineStr">
        <x:is>
          <x:t xml:space="preserve">Lists, uploads, or removes room file access.</x:t>
        </x:is>
      </x:c>
    </x:row>
    <x:row r="18">
      <x:c r="A18" s="10" t="inlineStr">
        <x:is>
          <x:t xml:space="preserve">/api/files/{id}/download</x:t>
        </x:is>
      </x:c>
      <x:c r="B18" s="10" t="inlineStr">
        <x:is>
          <x:t xml:space="preserve">GET</x:t>
        </x:is>
      </x:c>
      <x:c r="C18" s="10" t="inlineStr">
        <x:is>
          <x:t xml:space="preserve">F032</x:t>
        </x:is>
      </x:c>
      <x:c r="D18" s="10" t="inlineStr">
        <x:is>
          <x:t xml:space="preserve">requireUser + file access</x:t>
        </x:is>
      </x:c>
      <x:c r="E18" s="10" t="inlineStr">
        <x:is>
          <x:t xml:space="preserve">Returns signed download URL.</x:t>
        </x:is>
      </x:c>
    </x:row>
    <x:row r="19">
      <x:c r="A19" s="11" t="inlineStr">
        <x:is>
          <x:t xml:space="preserve">/api/files/{id}/versions</x:t>
        </x:is>
      </x:c>
      <x:c r="B19" s="11" t="inlineStr">
        <x:is>
          <x:t xml:space="preserve">POST</x:t>
        </x:is>
      </x:c>
      <x:c r="C19" s="11" t="inlineStr">
        <x:is>
          <x:t xml:space="preserve">F034</x:t>
        </x:is>
      </x:c>
      <x:c r="D19" s="11" t="inlineStr">
        <x:is>
          <x:t xml:space="preserve">requireUser + file access</x:t>
        </x:is>
      </x:c>
      <x:c r="E19" s="11" t="inlineStr">
        <x:is>
          <x:t xml:space="preserve">Creates file version.</x:t>
        </x:is>
      </x:c>
    </x:row>
    <x:row r="20">
      <x:c r="A20" s="10" t="inlineStr">
        <x:is>
          <x:t xml:space="preserve">/api/files/share-targets</x:t>
        </x:is>
      </x:c>
      <x:c r="B20" s="10" t="inlineStr">
        <x:is>
          <x:t xml:space="preserve">GET</x:t>
        </x:is>
      </x:c>
      <x:c r="C20" s="10" t="inlineStr">
        <x:is>
          <x:t xml:space="preserve">F035</x:t>
        </x:is>
      </x:c>
      <x:c r="D20" s="10" t="inlineStr">
        <x:is>
          <x:t xml:space="preserve">requireUser + membership filtering</x:t>
        </x:is>
      </x:c>
      <x:c r="E20" s="10" t="inlineStr">
        <x:is>
          <x:t xml:space="preserve">Returns writable target rooms.</x:t>
        </x:is>
      </x:c>
    </x:row>
    <x:row r="21">
      <x:c r="A21" s="11" t="inlineStr">
        <x:is>
          <x:t xml:space="preserve">/api/files/share</x:t>
        </x:is>
      </x:c>
      <x:c r="B21" s="11" t="inlineStr">
        <x:is>
          <x:t xml:space="preserve">POST</x:t>
        </x:is>
      </x:c>
      <x:c r="C21" s="11" t="inlineStr">
        <x:is>
          <x:t xml:space="preserve">F036</x:t>
        </x:is>
      </x:c>
      <x:c r="D21" s="11" t="inlineStr">
        <x:is>
          <x:t xml:space="preserve">requireUser + source/target checks</x:t>
        </x:is>
      </x:c>
      <x:c r="E21" s="11" t="inlineStr">
        <x:is>
          <x:t xml:space="preserve">Shares selected files to target rooms.</x:t>
        </x:is>
      </x:c>
    </x:row>
    <x:row r="22">
      <x:c r="A22" s="10" t="inlineStr">
        <x:is>
          <x:t xml:space="preserve">/api/shared-items</x:t>
        </x:is>
      </x:c>
      <x:c r="B22" s="10" t="inlineStr">
        <x:is>
          <x:t xml:space="preserve">GET/POST</x:t>
        </x:is>
      </x:c>
      <x:c r="C22" s="10" t="inlineStr">
        <x:is>
          <x:t xml:space="preserve">F037,F044</x:t>
        </x:is>
      </x:c>
      <x:c r="D22" s="10" t="inlineStr">
        <x:is>
          <x:t xml:space="preserve">requireUser + service checks</x:t>
        </x:is>
      </x:c>
      <x:c r="E22" s="10" t="inlineStr">
        <x:is>
          <x:t xml:space="preserve">Lists or creates shared items.</x:t>
        </x:is>
      </x:c>
    </x:row>
    <x:row r="23">
      <x:c r="A23" s="11" t="inlineStr">
        <x:is>
          <x:t xml:space="preserve">/api/shared-items/{id}</x:t>
        </x:is>
      </x:c>
      <x:c r="B23" s="11" t="inlineStr">
        <x:is>
          <x:t xml:space="preserve">DELETE</x:t>
        </x:is>
      </x:c>
      <x:c r="C23" s="11" t="inlineStr">
        <x:is>
          <x:t xml:space="preserve">F039</x:t>
        </x:is>
      </x:c>
      <x:c r="D23" s="11" t="inlineStr">
        <x:is>
          <x:t xml:space="preserve">requireUser + service checks</x:t>
        </x:is>
      </x:c>
      <x:c r="E23" s="11" t="inlineStr">
        <x:is>
          <x:t xml:space="preserve">Deletes shared item record.</x:t>
        </x:is>
      </x:c>
    </x:row>
    <x:row r="24">
      <x:c r="A24" s="10" t="inlineStr">
        <x:is>
          <x:t xml:space="preserve">/api/shared-items/{id}/open-original</x:t>
        </x:is>
      </x:c>
      <x:c r="B24" s="10" t="inlineStr">
        <x:is>
          <x:t xml:space="preserve">GET/POST</x:t>
        </x:is>
      </x:c>
      <x:c r="C24" s="10" t="inlineStr">
        <x:is>
          <x:t xml:space="preserve">F038</x:t>
        </x:is>
      </x:c>
      <x:c r="D24" s="10" t="inlineStr">
        <x:is>
          <x:t xml:space="preserve">requireUser + service checks</x:t>
        </x:is>
      </x:c>
      <x:c r="E24" s="10" t="inlineStr">
        <x:is>
          <x:t xml:space="preserve">Returns default dir or downloads/opens original.</x:t>
        </x:is>
      </x:c>
    </x:row>
    <x:row r="25">
      <x:c r="A25" s="11" t="inlineStr">
        <x:is>
          <x:t xml:space="preserve">/api/meeting-imports</x:t>
        </x:is>
      </x:c>
      <x:c r="B25" s="11" t="inlineStr">
        <x:is>
          <x:t xml:space="preserve">GET/POST</x:t>
        </x:is>
      </x:c>
      <x:c r="C25" s="11" t="inlineStr">
        <x:is>
          <x:t xml:space="preserve">F040</x:t>
        </x:is>
      </x:c>
      <x:c r="D25" s="11" t="inlineStr">
        <x:is>
          <x:t xml:space="preserve">requireUser + service checks</x:t>
        </x:is>
      </x:c>
      <x:c r="E25" s="11" t="inlineStr">
        <x:is>
          <x:t xml:space="preserve">Lists or creates meeting imports.</x:t>
        </x:is>
      </x:c>
    </x:row>
    <x:row r="26">
      <x:c r="A26" s="10" t="inlineStr">
        <x:is>
          <x:t xml:space="preserve">/api/meeting-imports/targets</x:t>
        </x:is>
      </x:c>
      <x:c r="B26" s="10" t="inlineStr">
        <x:is>
          <x:t xml:space="preserve">GET</x:t>
        </x:is>
      </x:c>
      <x:c r="C26" s="10" t="inlineStr">
        <x:is>
          <x:t xml:space="preserve">F040</x:t>
        </x:is>
      </x:c>
      <x:c r="D26" s="10" t="inlineStr">
        <x:is>
          <x:t xml:space="preserve">requireUser + writable-room filtering</x:t>
        </x:is>
      </x:c>
      <x:c r="E26" s="10" t="inlineStr">
        <x:is>
          <x:t xml:space="preserve">Lists import target rooms.</x:t>
        </x:is>
      </x:c>
    </x:row>
    <x:row r="27">
      <x:c r="A27" s="11" t="inlineStr">
        <x:is>
          <x:t xml:space="preserve">/api/meeting-imports/{id}/apply</x:t>
        </x:is>
      </x:c>
      <x:c r="B27" s="11" t="inlineStr">
        <x:is>
          <x:t xml:space="preserve">POST</x:t>
        </x:is>
      </x:c>
      <x:c r="C27" s="11" t="inlineStr">
        <x:is>
          <x:t xml:space="preserve">F041</x:t>
        </x:is>
      </x:c>
      <x:c r="D27" s="11" t="inlineStr">
        <x:is>
          <x:t xml:space="preserve">requireUser + import access</x:t>
        </x:is>
      </x:c>
      <x:c r="E27" s="11" t="inlineStr">
        <x:is>
          <x:t xml:space="preserve">Applies import to bot memory.</x:t>
        </x:is>
      </x:c>
    </x:row>
    <x:row r="28">
      <x:c r="A28" s="10" t="inlineStr">
        <x:is>
          <x:t xml:space="preserve">/api/meeting-imports/{id}/task</x:t>
        </x:is>
      </x:c>
      <x:c r="B28" s="10" t="inlineStr">
        <x:is>
          <x:t xml:space="preserve">POST</x:t>
        </x:is>
      </x:c>
      <x:c r="C28" s="10" t="inlineStr">
        <x:is>
          <x:t xml:space="preserve">F042</x:t>
        </x:is>
      </x:c>
      <x:c r="D28" s="10" t="inlineStr">
        <x:is>
          <x:t xml:space="preserve">requireUser + import access</x:t>
        </x:is>
      </x:c>
      <x:c r="E28" s="10" t="inlineStr">
        <x:is>
          <x:t xml:space="preserve">Creates task from import.</x:t>
        </x:is>
      </x:c>
    </x:row>
    <x:row r="29">
      <x:c r="A29" s="11" t="inlineStr">
        <x:is>
          <x:t xml:space="preserve">/api/meeting-imports/{id}</x:t>
        </x:is>
      </x:c>
      <x:c r="B29" s="11" t="inlineStr">
        <x:is>
          <x:t xml:space="preserve">DELETE</x:t>
        </x:is>
      </x:c>
      <x:c r="C29" s="11" t="inlineStr">
        <x:is>
          <x:t xml:space="preserve">F043</x:t>
        </x:is>
      </x:c>
      <x:c r="D29" s="11" t="inlineStr">
        <x:is>
          <x:t xml:space="preserve">requireUser + import access</x:t>
        </x:is>
      </x:c>
      <x:c r="E29" s="11" t="inlineStr">
        <x:is>
          <x:t xml:space="preserve">Deletes import record.</x:t>
        </x:is>
      </x:c>
    </x:row>
    <x:row r="30">
      <x:c r="A30" s="10" t="inlineStr">
        <x:is>
          <x:t xml:space="preserve">/api/decisions</x:t>
        </x:is>
      </x:c>
      <x:c r="B30" s="10" t="inlineStr">
        <x:is>
          <x:t xml:space="preserve">GET/POST</x:t>
        </x:is>
      </x:c>
      <x:c r="C30" s="10" t="inlineStr">
        <x:is>
          <x:t xml:space="preserve">F045,F046</x:t>
        </x:is>
      </x:c>
      <x:c r="D30" s="10" t="inlineStr">
        <x:is>
          <x:t xml:space="preserve">requireUser + meeting membership/write</x:t>
        </x:is>
      </x:c>
      <x:c r="E30" s="10" t="inlineStr">
        <x:is>
          <x:t xml:space="preserve">Lists or creates meeting decisions.</x:t>
        </x:is>
      </x:c>
    </x:row>
    <x:row r="31">
      <x:c r="A31" s="11" t="inlineStr">
        <x:is>
          <x:t xml:space="preserve">/api/decisions/{id}</x:t>
        </x:is>
      </x:c>
      <x:c r="B31" s="11" t="inlineStr">
        <x:is>
          <x:t xml:space="preserve">PATCH/DELETE</x:t>
        </x:is>
      </x:c>
      <x:c r="C31" s="11" t="inlineStr">
        <x:is>
          <x:t xml:space="preserve">F047</x:t>
        </x:is>
      </x:c>
      <x:c r="D31" s="11" t="inlineStr">
        <x:is>
          <x:t xml:space="preserve">requireUser + meeting write</x:t>
        </x:is>
      </x:c>
      <x:c r="E31" s="11" t="inlineStr">
        <x:is>
          <x:t xml:space="preserve">Updates or deletes decision.</x:t>
        </x:is>
      </x:c>
    </x:row>
    <x:row r="32">
      <x:c r="A32" s="10" t="inlineStr">
        <x:is>
          <x:t xml:space="preserve">/api/tasks</x:t>
        </x:is>
      </x:c>
      <x:c r="B32" s="10" t="inlineStr">
        <x:is>
          <x:t xml:space="preserve">GET/POST</x:t>
        </x:is>
      </x:c>
      <x:c r="C32" s="10" t="inlineStr">
        <x:is>
          <x:t xml:space="preserve">F048-F050</x:t>
        </x:is>
      </x:c>
      <x:c r="D32" s="10" t="inlineStr">
        <x:is>
          <x:t xml:space="preserve">requireUser + room/write checks</x:t>
        </x:is>
      </x:c>
      <x:c r="E32" s="10" t="inlineStr">
        <x:is>
          <x:t xml:space="preserve">Lists or creates tasks.</x:t>
        </x:is>
      </x:c>
    </x:row>
    <x:row r="33">
      <x:c r="A33" s="11" t="inlineStr">
        <x:is>
          <x:t xml:space="preserve">/api/video-meetings</x:t>
        </x:is>
      </x:c>
      <x:c r="B33" s="11" t="inlineStr">
        <x:is>
          <x:t xml:space="preserve">GET/POST</x:t>
        </x:is>
      </x:c>
      <x:c r="C33" s="11" t="inlineStr">
        <x:is>
          <x:t xml:space="preserve">F051,F052</x:t>
        </x:is>
      </x:c>
      <x:c r="D33" s="11" t="inlineStr">
        <x:is>
          <x:t xml:space="preserve">requireUser + service checks</x:t>
        </x:is>
      </x:c>
      <x:c r="E33" s="11" t="inlineStr">
        <x:is>
          <x:t xml:space="preserve">Lists or creates/reuses meetings.</x:t>
        </x:is>
      </x:c>
    </x:row>
    <x:row r="34">
      <x:c r="A34" s="10" t="inlineStr">
        <x:is>
          <x:t xml:space="preserve">/api/video-meetings/{id}</x:t>
        </x:is>
      </x:c>
      <x:c r="B34" s="10" t="inlineStr">
        <x:is>
          <x:t xml:space="preserve">GET</x:t>
        </x:is>
      </x:c>
      <x:c r="C34" s="10" t="inlineStr">
        <x:is>
          <x:t xml:space="preserve">F058-F060</x:t>
        </x:is>
      </x:c>
      <x:c r="D34" s="10" t="inlineStr">
        <x:is>
          <x:t xml:space="preserve">requireUser + room membership</x:t>
        </x:is>
      </x:c>
      <x:c r="E34" s="10" t="inlineStr">
        <x:is>
          <x:t xml:space="preserve">Reads meeting and artifacts without hostUrl.</x:t>
        </x:is>
      </x:c>
    </x:row>
    <x:row r="35">
      <x:c r="A35" s="11" t="inlineStr">
        <x:is>
          <x:t xml:space="preserve">/api/video-meetings/{id}/join-url</x:t>
        </x:is>
      </x:c>
      <x:c r="B35" s="11" t="inlineStr">
        <x:is>
          <x:t xml:space="preserve">PATCH</x:t>
        </x:is>
      </x:c>
      <x:c r="C35" s="11" t="inlineStr">
        <x:is>
          <x:t xml:space="preserve">F053</x:t>
        </x:is>
      </x:c>
      <x:c r="D35" s="11" t="inlineStr">
        <x:is>
          <x:t xml:space="preserve">requireUser + meeting access</x:t>
        </x:is>
      </x:c>
      <x:c r="E35" s="11" t="inlineStr">
        <x:is>
          <x:t xml:space="preserve">Registers normalized join URL.</x:t>
        </x:is>
      </x:c>
    </x:row>
    <x:row r="36">
      <x:c r="A36" s="10" t="inlineStr">
        <x:is>
          <x:t xml:space="preserve">/api/video-meetings/{id}/join</x:t>
        </x:is>
      </x:c>
      <x:c r="B36" s="10" t="inlineStr">
        <x:is>
          <x:t xml:space="preserve">POST</x:t>
        </x:is>
      </x:c>
      <x:c r="C36" s="10" t="inlineStr">
        <x:is>
          <x:t xml:space="preserve">F054</x:t>
        </x:is>
      </x:c>
      <x:c r="D36" s="10" t="inlineStr">
        <x:is>
          <x:t xml:space="preserve">requireUser + meeting access</x:t>
        </x:is>
      </x:c>
      <x:c r="E36" s="10" t="inlineStr">
        <x:is>
          <x:t xml:space="preserve">Records join intent.</x:t>
        </x:is>
      </x:c>
    </x:row>
    <x:row r="37">
      <x:c r="A37" s="11" t="inlineStr">
        <x:is>
          <x:t xml:space="preserve">/api/video-meetings/{id}/end</x:t>
        </x:is>
      </x:c>
      <x:c r="B37" s="11" t="inlineStr">
        <x:is>
          <x:t xml:space="preserve">POST</x:t>
        </x:is>
      </x:c>
      <x:c r="C37" s="11" t="inlineStr">
        <x:is>
          <x:t xml:space="preserve">F055</x:t>
        </x:is>
      </x:c>
      <x:c r="D37" s="11" t="inlineStr">
        <x:is>
          <x:t xml:space="preserve">requireUser + meeting access</x:t>
        </x:is>
      </x:c>
      <x:c r="E37" s="11" t="inlineStr">
        <x:is>
          <x:t xml:space="preserve">Ends meeting.</x:t>
        </x:is>
      </x:c>
    </x:row>
    <x:row r="38">
      <x:c r="A38" s="10" t="inlineStr">
        <x:is>
          <x:t xml:space="preserve">/api/video-meetings/{id}/artifacts</x:t>
        </x:is>
      </x:c>
      <x:c r="B38" s="10" t="inlineStr">
        <x:is>
          <x:t xml:space="preserve">POST</x:t>
        </x:is>
      </x:c>
      <x:c r="C38" s="10" t="inlineStr">
        <x:is>
          <x:t xml:space="preserve">F058</x:t>
        </x:is>
      </x:c>
      <x:c r="D38" s="10" t="inlineStr">
        <x:is>
          <x:t xml:space="preserve">requireUser + meeting access</x:t>
        </x:is>
      </x:c>
      <x:c r="E38" s="10" t="inlineStr">
        <x:is>
          <x:t xml:space="preserve">Creates artifact.</x:t>
        </x:is>
      </x:c>
    </x:row>
    <x:row r="39">
      <x:c r="A39" s="11" t="inlineStr">
        <x:is>
          <x:t xml:space="preserve">/api/video-meetings/{id}/summarize</x:t>
        </x:is>
      </x:c>
      <x:c r="B39" s="11" t="inlineStr">
        <x:is>
          <x:t xml:space="preserve">POST</x:t>
        </x:is>
      </x:c>
      <x:c r="C39" s="11" t="inlineStr">
        <x:is>
          <x:t xml:space="preserve">F059</x:t>
        </x:is>
      </x:c>
      <x:c r="D39" s="11" t="inlineStr">
        <x:is>
          <x:t xml:space="preserve">requireUser + meeting access</x:t>
        </x:is>
      </x:c>
      <x:c r="E39" s="11" t="inlineStr">
        <x:is>
          <x:t xml:space="preserve">Creates summary artifact.</x:t>
        </x:is>
      </x:c>
    </x:row>
    <x:row r="40">
      <x:c r="A40" s="10" t="inlineStr">
        <x:is>
          <x:t xml:space="preserve">/api/video-meetings/zoom/signature</x:t>
        </x:is>
      </x:c>
      <x:c r="B40" s="10" t="inlineStr">
        <x:is>
          <x:t xml:space="preserve">POST</x:t>
        </x:is>
      </x:c>
      <x:c r="C40" s="10" t="inlineStr">
        <x:is>
          <x:t xml:space="preserve">F057</x:t>
        </x:is>
      </x:c>
      <x:c r="D40" s="10" t="inlineStr">
        <x:is>
          <x:t xml:space="preserve">requireUser + Zoom meeting access</x:t>
        </x:is>
      </x:c>
      <x:c r="E40" s="10" t="inlineStr">
        <x:is>
          <x:t xml:space="preserve">Returns participant signature or setupRequired.</x:t>
        </x:is>
      </x:c>
    </x:row>
    <x:row r="41">
      <x:c r="A41" s="11" t="inlineStr">
        <x:is>
          <x:t xml:space="preserve">/api/admin/allowed-users</x:t>
        </x:is>
      </x:c>
      <x:c r="B41" s="11" t="inlineStr">
        <x:is>
          <x:t xml:space="preserve">GET/POST/PATCH</x:t>
        </x:is>
      </x:c>
      <x:c r="C41" s="11" t="inlineStr">
        <x:is>
          <x:t xml:space="preserve">F063,F064</x:t>
        </x:is>
      </x:c>
      <x:c r="D41" s="11" t="inlineStr">
        <x:is>
          <x:t xml:space="preserve">requireAdmin</x:t>
        </x:is>
      </x:c>
      <x:c r="E41" s="11" t="inlineStr">
        <x:is>
          <x:t xml:space="preserve">Lists, invites, or updates allowed users.</x:t>
        </x:is>
      </x:c>
    </x:row>
    <x:row r="42">
      <x:c r="A42" s="10" t="inlineStr">
        <x:is>
          <x:t xml:space="preserve">/api/admin/memberships</x:t>
        </x:is>
      </x:c>
      <x:c r="B42" s="10" t="inlineStr">
        <x:is>
          <x:t xml:space="preserve">GET/POST</x:t>
        </x:is>
      </x:c>
      <x:c r="C42" s="10" t="inlineStr">
        <x:is>
          <x:t xml:space="preserve">F065</x:t>
        </x:is>
      </x:c>
      <x:c r="D42" s="10" t="inlineStr">
        <x:is>
          <x:t xml:space="preserve">requireAdmin</x:t>
        </x:is>
      </x:c>
      <x:c r="E42" s="10" t="inlineStr">
        <x:is>
          <x:t xml:space="preserve">Lists or mutates room memberships.</x:t>
        </x:is>
      </x:c>
    </x:row>
    <x:row r="43">
      <x:c r="A43" s="11" t="inlineStr">
        <x:is>
          <x:t xml:space="preserve">/api/profile</x:t>
        </x:is>
      </x:c>
      <x:c r="B43" s="11" t="inlineStr">
        <x:is>
          <x:t xml:space="preserve">PATCH</x:t>
        </x:is>
      </x:c>
      <x:c r="C43" s="11" t="inlineStr">
        <x:is>
          <x:t xml:space="preserve">F007</x:t>
        </x:is>
      </x:c>
      <x:c r="D43" s="11" t="inlineStr">
        <x:is>
          <x:t xml:space="preserve">requireUser</x:t>
        </x:is>
      </x:c>
      <x:c r="E43" s="11" t="inlineStr">
        <x:is>
          <x:t xml:space="preserve">Updates profile and audits changes.</x:t>
        </x:is>
      </x:c>
    </x:row>
    <x:row r="44">
      <x:c r="A44" s="10" t="inlineStr">
        <x:is>
          <x:t xml:space="preserve">/api/coordinator/briefing</x:t>
        </x:is>
      </x:c>
      <x:c r="B44" s="10" t="inlineStr">
        <x:is>
          <x:t xml:space="preserve">GET/POST</x:t>
        </x:is>
      </x:c>
      <x:c r="C44" s="10" t="inlineStr">
        <x:is>
          <x:t xml:space="preserve">F067</x:t>
        </x:is>
      </x:c>
      <x:c r="D44" s="10" t="inlineStr">
        <x:is>
          <x:t xml:space="preserve">requireUser + meeting membership</x:t>
        </x:is>
      </x:c>
      <x:c r="E44" s="10" t="inlineStr">
        <x:is>
          <x:t xml:space="preserve">Gets or generates coordinator briefing.</x:t>
        </x:is>
      </x:c>
    </x:row>
    <x:row r="45">
      <x:c r="A45" s="11" t="inlineStr">
        <x:is>
          <x:t xml:space="preserve">/api/office/operation-status</x:t>
        </x:is>
      </x:c>
      <x:c r="B45" s="11" t="inlineStr">
        <x:is>
          <x:t xml:space="preserve">GET</x:t>
        </x:is>
      </x:c>
      <x:c r="C45" s="11" t="inlineStr">
        <x:is>
          <x:t xml:space="preserve">F011,F077</x:t>
        </x:is>
      </x:c>
      <x:c r="D45" s="11" t="inlineStr">
        <x:is>
          <x:t xml:space="preserve">requireUser</x:t>
        </x:is>
      </x:c>
      <x:c r="E45" s="11" t="inlineStr">
        <x:is>
          <x:t xml:space="preserve">Returns status counts.</x:t>
        </x:is>
      </x:c>
    </x:row>
    <x:row r="46">
      <x:c r="A46" s="10" t="inlineStr">
        <x:is>
          <x:t xml:space="preserve">/api/agent-runs/sweep</x:t>
        </x:is>
      </x:c>
      <x:c r="B46" s="10" t="inlineStr">
        <x:is>
          <x:t xml:space="preserve">GET/POST</x:t>
        </x:is>
      </x:c>
      <x:c r="C46" s="10" t="inlineStr">
        <x:is>
          <x:t xml:space="preserve">F030</x:t>
        </x:is>
      </x:c>
      <x:c r="D46" s="10" t="inlineStr">
        <x:is>
          <x:t xml:space="preserve">CRON_SECRET bearer</x:t>
        </x:is>
      </x:c>
      <x:c r="E46" s="10" t="inlineStr">
        <x:is>
          <x:t xml:space="preserve">Sweeps stuck agent runs.</x:t>
        </x:is>
      </x:c>
    </x:row>
    <x:row r="47">
      <x:c r="A47" s="11" t="inlineStr">
        <x:is>
          <x:t xml:space="preserve">/api/health</x:t>
        </x:is>
      </x:c>
      <x:c r="B47" s="11" t="inlineStr">
        <x:is>
          <x:t xml:space="preserve">GET</x:t>
        </x:is>
      </x:c>
      <x:c r="C47" s="11" t="inlineStr">
        <x:is>
          <x:t xml:space="preserve">F009</x:t>
        </x:is>
      </x:c>
      <x:c r="D47" s="11" t="inlineStr">
        <x:is>
          <x:t xml:space="preserve">Public</x:t>
        </x:is>
      </x:c>
      <x:c r="E47" s="11" t="inlineStr">
        <x:is>
          <x:t xml:space="preserve">Returns safe health status.</x:t>
        </x:is>
      </x:c>
    </x:row>
    <x:row r="48">
      <x:c r="A48" s="10" t="inlineStr">
        <x:is>
          <x:t xml:space="preserve">/api/auth/debug</x:t>
        </x:is>
      </x:c>
      <x:c r="B48" s="10" t="inlineStr">
        <x:is>
          <x:t xml:space="preserve">GET</x:t>
        </x:is>
      </x:c>
      <x:c r="C48" s="10" t="inlineStr">
        <x:is>
          <x:t xml:space="preserve">F006</x:t>
        </x:is>
      </x:c>
      <x:c r="D48" s="10" t="inlineStr">
        <x:is>
          <x:t xml:space="preserve">Debug enabled</x:t>
        </x:is>
      </x:c>
      <x:c r="E48" s="10" t="inlineStr">
        <x:is>
          <x:t xml:space="preserve">Returns safe auth diagnostics or 404.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e7f46cff9154388"/>
  </x:tableParts>
</x:worksheet>
</file>